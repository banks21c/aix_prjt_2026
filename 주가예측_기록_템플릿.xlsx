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법" sheetId="1" state="visible" r:id="rId3"/>
    <sheet name="예측기록" sheetId="2" state="visible" r:id="rId4"/>
    <sheet name="요약대시보드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<sst xmlns="http://schemas.openxmlformats.org/spreadsheetml/2006/main" count="69" uniqueCount="63">
  <si>
    <r>
      <rPr>
        <b val="true"/>
        <sz val="16"/>
        <color rgb="FF1F3864"/>
        <rFont val="Arial"/>
        <family val="0"/>
        <charset val="1"/>
      </rPr>
      <t xml:space="preserve">AI </t>
    </r>
    <r>
      <rPr>
        <b val="true"/>
        <sz val="16"/>
        <color rgb="FF1F3864"/>
        <rFont val="Noto Sans CJK SC"/>
        <family val="2"/>
      </rPr>
      <t xml:space="preserve">주가 예측 결과 기록 템플릿</t>
    </r>
  </si>
  <si>
    <r>
      <rPr>
        <sz val="11"/>
        <color rgb="FF000000"/>
        <rFont val="Noto Sans CJK SC"/>
        <family val="2"/>
      </rPr>
      <t xml:space="preserve">이 파일은 </t>
    </r>
    <r>
      <rPr>
        <sz val="11"/>
        <color rgb="FF000000"/>
        <rFont val="Arial"/>
        <family val="0"/>
        <charset val="1"/>
      </rPr>
      <t xml:space="preserve">stock_return_predictor.py </t>
    </r>
    <r>
      <rPr>
        <sz val="11"/>
        <color rgb="FF000000"/>
        <rFont val="Noto Sans CJK SC"/>
        <family val="2"/>
      </rPr>
      <t xml:space="preserve">실행 결과를 기록하고</t>
    </r>
    <r>
      <rPr>
        <sz val="11"/>
        <color rgb="FF000000"/>
        <rFont val="Arial"/>
        <family val="0"/>
        <charset val="1"/>
      </rPr>
      <t xml:space="preserve">,</t>
    </r>
  </si>
  <si>
    <r>
      <rPr>
        <sz val="11"/>
        <color rgb="FF000000"/>
        <rFont val="Noto Sans CJK SC"/>
        <family val="2"/>
      </rPr>
      <t xml:space="preserve">시간이 지난 뒤 실제 값과 비교해 예측 정확도를 추적하기 위한 템플릿입니다</t>
    </r>
    <r>
      <rPr>
        <sz val="11"/>
        <color rgb="FF000000"/>
        <rFont val="Arial"/>
        <family val="0"/>
        <charset val="1"/>
      </rPr>
      <t xml:space="preserve">.</t>
    </r>
  </si>
  <si>
    <r>
      <rPr>
        <b val="true"/>
        <sz val="12"/>
        <color rgb="FF1F3864"/>
        <rFont val="Arial"/>
        <family val="0"/>
        <charset val="1"/>
      </rPr>
      <t xml:space="preserve">[</t>
    </r>
    <r>
      <rPr>
        <b val="true"/>
        <sz val="12"/>
        <color rgb="FF1F3864"/>
        <rFont val="Noto Sans CJK SC"/>
        <family val="2"/>
      </rPr>
      <t xml:space="preserve">시트 구성</t>
    </r>
    <r>
      <rPr>
        <b val="true"/>
        <sz val="12"/>
        <color rgb="FF1F3864"/>
        <rFont val="Arial"/>
        <family val="0"/>
        <charset val="1"/>
      </rPr>
      <t xml:space="preserve">]</t>
    </r>
  </si>
  <si>
    <r>
      <rPr>
        <sz val="11"/>
        <color rgb="FF000000"/>
        <rFont val="Noto Sans CJK SC"/>
        <family val="2"/>
      </rPr>
      <t xml:space="preserve">① 예측기록 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종목별 예측 결과를 매일 입력하는 시트</t>
    </r>
  </si>
  <si>
    <r>
      <rPr>
        <sz val="11"/>
        <color rgb="FF000000"/>
        <rFont val="Noto Sans CJK SC"/>
        <family val="2"/>
      </rPr>
      <t xml:space="preserve">② 요약대시보드 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방향 정확도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평균 오차를 자동 집계하는 시트</t>
    </r>
  </si>
  <si>
    <r>
      <rPr>
        <b val="true"/>
        <sz val="12"/>
        <color rgb="FF1F3864"/>
        <rFont val="Arial"/>
        <family val="0"/>
        <charset val="1"/>
      </rPr>
      <t xml:space="preserve">[</t>
    </r>
    <r>
      <rPr>
        <b val="true"/>
        <sz val="12"/>
        <color rgb="FF1F3864"/>
        <rFont val="Noto Sans CJK SC"/>
        <family val="2"/>
      </rPr>
      <t xml:space="preserve">입력 방법</t>
    </r>
    <r>
      <rPr>
        <b val="true"/>
        <sz val="12"/>
        <color rgb="FF1F3864"/>
        <rFont val="Arial"/>
        <family val="0"/>
        <charset val="1"/>
      </rPr>
      <t xml:space="preserve">]</t>
    </r>
  </si>
  <si>
    <r>
      <rPr>
        <sz val="11"/>
        <color rgb="FF000000"/>
        <rFont val="Arial"/>
        <family val="0"/>
        <charset val="1"/>
      </rPr>
      <t xml:space="preserve">1. </t>
    </r>
    <r>
      <rPr>
        <sz val="11"/>
        <color rgb="FF000000"/>
        <rFont val="Noto Sans CJK SC"/>
        <family val="2"/>
      </rPr>
      <t xml:space="preserve">파란색 글자 셀 </t>
    </r>
    <r>
      <rPr>
        <sz val="11"/>
        <color rgb="FF000000"/>
        <rFont val="Arial"/>
        <family val="0"/>
        <charset val="1"/>
      </rPr>
      <t xml:space="preserve">= </t>
    </r>
    <r>
      <rPr>
        <sz val="11"/>
        <color rgb="FF000000"/>
        <rFont val="Noto Sans CJK SC"/>
        <family val="2"/>
      </rPr>
      <t xml:space="preserve">직접 입력하는 값</t>
    </r>
  </si>
  <si>
    <r>
      <rPr>
        <sz val="11"/>
        <color rgb="FF000000"/>
        <rFont val="Arial"/>
        <family val="0"/>
        <charset val="1"/>
      </rPr>
      <t xml:space="preserve">2. </t>
    </r>
    <r>
      <rPr>
        <sz val="11"/>
        <color rgb="FF000000"/>
        <rFont val="Noto Sans CJK SC"/>
        <family val="2"/>
      </rPr>
      <t xml:space="preserve">검은색 글자 셀 </t>
    </r>
    <r>
      <rPr>
        <sz val="11"/>
        <color rgb="FF000000"/>
        <rFont val="Arial"/>
        <family val="0"/>
        <charset val="1"/>
      </rPr>
      <t xml:space="preserve">= </t>
    </r>
    <r>
      <rPr>
        <sz val="11"/>
        <color rgb="FF000000"/>
        <rFont val="Noto Sans CJK SC"/>
        <family val="2"/>
      </rPr>
      <t xml:space="preserve">자동 계산되는 수식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건드리지 마세요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</si>
  <si>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3. </t>
    </r>
    <r>
      <rPr>
        <sz val="11"/>
        <color rgb="FF000000"/>
        <rFont val="Noto Sans CJK SC"/>
        <family val="2"/>
      </rPr>
      <t xml:space="preserve">예측 당일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기준일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종목코드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종목명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오늘종가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예측 내일종가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예측 </t>
    </r>
    <r>
      <rPr>
        <sz val="11"/>
        <color rgb="FF000000"/>
        <rFont val="Arial"/>
        <family val="0"/>
        <charset val="1"/>
      </rPr>
      <t xml:space="preserve">7</t>
    </r>
    <r>
      <rPr>
        <sz val="11"/>
        <color rgb="FF000000"/>
        <rFont val="Noto Sans CJK SC"/>
        <family val="2"/>
      </rPr>
      <t xml:space="preserve">일후종가를 입력</t>
    </r>
  </si>
  <si>
    <r>
      <rPr>
        <sz val="11"/>
        <color rgb="FF000000"/>
        <rFont val="Arial"/>
        <family val="0"/>
        <charset val="1"/>
      </rPr>
      <t xml:space="preserve">4. </t>
    </r>
    <r>
      <rPr>
        <sz val="11"/>
        <color rgb="FF000000"/>
        <rFont val="Noto Sans CJK SC"/>
        <family val="2"/>
      </rPr>
      <t xml:space="preserve">하루 뒤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실제 내일종가 칸에 실제 종가를 입력하면 적중 여부가 자동 계산됨</t>
    </r>
  </si>
  <si>
    <r>
      <rPr>
        <sz val="11"/>
        <color rgb="FF000000"/>
        <rFont val="Arial"/>
        <family val="0"/>
        <charset val="1"/>
      </rPr>
      <t xml:space="preserve">5. 7</t>
    </r>
    <r>
      <rPr>
        <sz val="11"/>
        <color rgb="FF000000"/>
        <rFont val="Noto Sans CJK SC"/>
        <family val="2"/>
      </rPr>
      <t xml:space="preserve">일 뒤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실제 </t>
    </r>
    <r>
      <rPr>
        <sz val="11"/>
        <color rgb="FF000000"/>
        <rFont val="Arial"/>
        <family val="0"/>
        <charset val="1"/>
      </rPr>
      <t xml:space="preserve">7</t>
    </r>
    <r>
      <rPr>
        <sz val="11"/>
        <color rgb="FF000000"/>
        <rFont val="Noto Sans CJK SC"/>
        <family val="2"/>
      </rPr>
      <t xml:space="preserve">일후종가 칸에 실제 종가를 입력하면 </t>
    </r>
    <r>
      <rPr>
        <sz val="11"/>
        <color rgb="FF000000"/>
        <rFont val="Arial"/>
        <family val="0"/>
        <charset val="1"/>
      </rPr>
      <t xml:space="preserve">7</t>
    </r>
    <r>
      <rPr>
        <sz val="11"/>
        <color rgb="FF000000"/>
        <rFont val="Noto Sans CJK SC"/>
        <family val="2"/>
      </rPr>
      <t xml:space="preserve">일 적중 여부가 자동 계산됨</t>
    </r>
  </si>
  <si>
    <r>
      <rPr>
        <b val="true"/>
        <sz val="12"/>
        <color rgb="FF1F3864"/>
        <rFont val="Arial"/>
        <family val="0"/>
        <charset val="1"/>
      </rPr>
      <t xml:space="preserve">[</t>
    </r>
    <r>
      <rPr>
        <b val="true"/>
        <sz val="12"/>
        <color rgb="FF1F3864"/>
        <rFont val="Noto Sans CJK SC"/>
        <family val="2"/>
      </rPr>
      <t xml:space="preserve">컬럼 설명</t>
    </r>
    <r>
      <rPr>
        <b val="true"/>
        <sz val="12"/>
        <color rgb="FF1F3864"/>
        <rFont val="Arial"/>
        <family val="0"/>
        <charset val="1"/>
      </rPr>
      <t xml:space="preserve">]</t>
    </r>
  </si>
  <si>
    <r>
      <rPr>
        <sz val="11"/>
        <color rgb="FF000000"/>
        <rFont val="Noto Sans CJK SC"/>
        <family val="2"/>
      </rPr>
      <t xml:space="preserve">기준일 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예측을 수행한 날짜</t>
    </r>
  </si>
  <si>
    <r>
      <rPr>
        <sz val="11"/>
        <color rgb="FF000000"/>
        <rFont val="Noto Sans CJK SC"/>
        <family val="2"/>
      </rPr>
      <t xml:space="preserve">종목코드 </t>
    </r>
    <r>
      <rPr>
        <sz val="11"/>
        <color rgb="FF000000"/>
        <rFont val="Arial"/>
        <family val="0"/>
        <charset val="1"/>
      </rPr>
      <t xml:space="preserve">/ </t>
    </r>
    <r>
      <rPr>
        <sz val="11"/>
        <color rgb="FF000000"/>
        <rFont val="Noto Sans CJK SC"/>
        <family val="2"/>
      </rPr>
      <t xml:space="preserve">종목명 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예</t>
    </r>
    <r>
      <rPr>
        <sz val="11"/>
        <color rgb="FF000000"/>
        <rFont val="Arial"/>
        <family val="0"/>
        <charset val="1"/>
      </rPr>
      <t xml:space="preserve">) 005930.KS / </t>
    </r>
    <r>
      <rPr>
        <sz val="11"/>
        <color rgb="FF000000"/>
        <rFont val="Noto Sans CJK SC"/>
        <family val="2"/>
      </rPr>
      <t xml:space="preserve">삼성전자</t>
    </r>
  </si>
  <si>
    <r>
      <rPr>
        <sz val="11"/>
        <color rgb="FF000000"/>
        <rFont val="Noto Sans CJK SC"/>
        <family val="2"/>
      </rPr>
      <t xml:space="preserve">오늘종가 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예측 시점의 실제 종가</t>
    </r>
  </si>
  <si>
    <r>
      <rPr>
        <sz val="11"/>
        <color rgb="FF000000"/>
        <rFont val="Noto Sans CJK SC"/>
        <family val="2"/>
      </rPr>
      <t xml:space="preserve">예측 내일종가 </t>
    </r>
    <r>
      <rPr>
        <sz val="11"/>
        <color rgb="FF000000"/>
        <rFont val="Arial"/>
        <family val="0"/>
        <charset val="1"/>
      </rPr>
      <t xml:space="preserve">/ </t>
    </r>
    <r>
      <rPr>
        <sz val="11"/>
        <color rgb="FF000000"/>
        <rFont val="Noto Sans CJK SC"/>
        <family val="2"/>
      </rPr>
      <t xml:space="preserve">예측 내일수익률 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모델이 예측한 값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수익률은 자동 계산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</si>
  <si>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실제 내일종가 </t>
    </r>
    <r>
      <rPr>
        <sz val="11"/>
        <color rgb="FF000000"/>
        <rFont val="Arial"/>
        <family val="0"/>
        <charset val="1"/>
      </rPr>
      <t xml:space="preserve">/ </t>
    </r>
    <r>
      <rPr>
        <sz val="11"/>
        <color rgb="FF000000"/>
        <rFont val="Noto Sans CJK SC"/>
        <family val="2"/>
      </rPr>
      <t xml:space="preserve">실제 내일수익률 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하루 뒤 실제 값을 입력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수익률은 자동 계산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</si>
  <si>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일 방향적중 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예측 방향과 실제 방향이 같으면 </t>
    </r>
    <r>
      <rPr>
        <sz val="11"/>
        <color rgb="FF000000"/>
        <rFont val="Arial"/>
        <family val="0"/>
        <charset val="1"/>
      </rPr>
      <t xml:space="preserve">'</t>
    </r>
    <r>
      <rPr>
        <sz val="11"/>
        <color rgb="FF000000"/>
        <rFont val="Noto Sans CJK SC"/>
        <family val="2"/>
      </rPr>
      <t xml:space="preserve">적중</t>
    </r>
    <r>
      <rPr>
        <sz val="11"/>
        <color rgb="FF000000"/>
        <rFont val="Arial"/>
        <family val="0"/>
        <charset val="1"/>
      </rPr>
      <t xml:space="preserve">', </t>
    </r>
    <r>
      <rPr>
        <sz val="11"/>
        <color rgb="FF000000"/>
        <rFont val="Noto Sans CJK SC"/>
        <family val="2"/>
      </rPr>
      <t xml:space="preserve">다르면 </t>
    </r>
    <r>
      <rPr>
        <sz val="11"/>
        <color rgb="FF000000"/>
        <rFont val="Arial"/>
        <family val="0"/>
        <charset val="1"/>
      </rPr>
      <t xml:space="preserve">'</t>
    </r>
    <r>
      <rPr>
        <sz val="11"/>
        <color rgb="FF000000"/>
        <rFont val="Noto Sans CJK SC"/>
        <family val="2"/>
      </rPr>
      <t xml:space="preserve">실패</t>
    </r>
    <r>
      <rPr>
        <sz val="11"/>
        <color rgb="FF000000"/>
        <rFont val="Arial"/>
        <family val="0"/>
        <charset val="1"/>
      </rPr>
      <t xml:space="preserve">'</t>
    </r>
  </si>
  <si>
    <r>
      <rPr>
        <sz val="11"/>
        <color rgb="FF000000"/>
        <rFont val="Noto Sans CJK SC"/>
        <family val="2"/>
      </rPr>
      <t xml:space="preserve">예측 </t>
    </r>
    <r>
      <rPr>
        <sz val="11"/>
        <color rgb="FF000000"/>
        <rFont val="Arial"/>
        <family val="0"/>
        <charset val="1"/>
      </rPr>
      <t xml:space="preserve">7</t>
    </r>
    <r>
      <rPr>
        <sz val="11"/>
        <color rgb="FF000000"/>
        <rFont val="Noto Sans CJK SC"/>
        <family val="2"/>
      </rPr>
      <t xml:space="preserve">일후종가 </t>
    </r>
    <r>
      <rPr>
        <sz val="11"/>
        <color rgb="FF000000"/>
        <rFont val="Arial"/>
        <family val="0"/>
        <charset val="1"/>
      </rPr>
      <t xml:space="preserve">/ </t>
    </r>
    <r>
      <rPr>
        <sz val="11"/>
        <color rgb="FF000000"/>
        <rFont val="Noto Sans CJK SC"/>
        <family val="2"/>
      </rPr>
      <t xml:space="preserve">실제 </t>
    </r>
    <r>
      <rPr>
        <sz val="11"/>
        <color rgb="FF000000"/>
        <rFont val="Arial"/>
        <family val="0"/>
        <charset val="1"/>
      </rPr>
      <t xml:space="preserve">7</t>
    </r>
    <r>
      <rPr>
        <sz val="11"/>
        <color rgb="FF000000"/>
        <rFont val="Noto Sans CJK SC"/>
        <family val="2"/>
      </rPr>
      <t xml:space="preserve">일후종가 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일주일 단위도 동일한 방식</t>
    </r>
  </si>
  <si>
    <r>
      <rPr>
        <sz val="11"/>
        <color rgb="FF000000"/>
        <rFont val="Noto Sans CJK SC"/>
        <family val="2"/>
      </rPr>
      <t xml:space="preserve">메모 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특이사항이나 이벤트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실적발표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뉴스 등</t>
    </r>
    <r>
      <rPr>
        <sz val="11"/>
        <color rgb="FF000000"/>
        <rFont val="Arial"/>
        <family val="0"/>
        <charset val="1"/>
      </rPr>
      <t xml:space="preserve">) </t>
    </r>
    <r>
      <rPr>
        <sz val="11"/>
        <color rgb="FF000000"/>
        <rFont val="Noto Sans CJK SC"/>
        <family val="2"/>
      </rPr>
      <t xml:space="preserve">기록</t>
    </r>
  </si>
  <si>
    <r>
      <rPr>
        <b val="true"/>
        <sz val="12"/>
        <color rgb="FF1F3864"/>
        <rFont val="Arial"/>
        <family val="0"/>
        <charset val="1"/>
      </rPr>
      <t xml:space="preserve">[</t>
    </r>
    <r>
      <rPr>
        <b val="true"/>
        <sz val="12"/>
        <color rgb="FF1F3864"/>
        <rFont val="Noto Sans CJK SC"/>
        <family val="2"/>
      </rPr>
      <t xml:space="preserve">주의</t>
    </r>
    <r>
      <rPr>
        <b val="true"/>
        <sz val="12"/>
        <color rgb="FF1F3864"/>
        <rFont val="Arial"/>
        <family val="0"/>
        <charset val="1"/>
      </rPr>
      <t xml:space="preserve">]</t>
    </r>
  </si>
  <si>
    <r>
      <rPr>
        <i val="true"/>
        <sz val="11"/>
        <color rgb="FFC00000"/>
        <rFont val="Noto Sans CJK SC"/>
        <family val="2"/>
      </rPr>
      <t xml:space="preserve">예측기록 시트 </t>
    </r>
    <r>
      <rPr>
        <i val="true"/>
        <sz val="11"/>
        <color rgb="FFC00000"/>
        <rFont val="Arial"/>
        <family val="0"/>
        <charset val="1"/>
      </rPr>
      <t xml:space="preserve">3~5</t>
    </r>
    <r>
      <rPr>
        <i val="true"/>
        <sz val="11"/>
        <color rgb="FFC00000"/>
        <rFont val="Noto Sans CJK SC"/>
        <family val="2"/>
      </rPr>
      <t xml:space="preserve">행은 형식을 보여주는 예시 데이터입니다</t>
    </r>
    <r>
      <rPr>
        <i val="true"/>
        <sz val="11"/>
        <color rgb="FFC00000"/>
        <rFont val="Arial"/>
        <family val="0"/>
        <charset val="1"/>
      </rPr>
      <t xml:space="preserve">. </t>
    </r>
    <r>
      <rPr>
        <i val="true"/>
        <sz val="11"/>
        <color rgb="FFC00000"/>
        <rFont val="Noto Sans CJK SC"/>
        <family val="2"/>
      </rPr>
      <t xml:space="preserve">실제 사용 전 삭제하고 사용하세요</t>
    </r>
    <r>
      <rPr>
        <i val="true"/>
        <sz val="11"/>
        <color rgb="FFC00000"/>
        <rFont val="Arial"/>
        <family val="0"/>
        <charset val="1"/>
      </rPr>
      <t xml:space="preserve">.</t>
    </r>
  </si>
  <si>
    <r>
      <rPr>
        <i val="true"/>
        <sz val="11"/>
        <color rgb="FFC00000"/>
        <rFont val="Noto Sans CJK SC"/>
        <family val="2"/>
      </rPr>
      <t xml:space="preserve">이 템플릿은 투자 자문이 아니며</t>
    </r>
    <r>
      <rPr>
        <i val="true"/>
        <sz val="11"/>
        <color rgb="FFC00000"/>
        <rFont val="Arial"/>
        <family val="0"/>
        <charset val="1"/>
      </rPr>
      <t xml:space="preserve">, </t>
    </r>
    <r>
      <rPr>
        <i val="true"/>
        <sz val="11"/>
        <color rgb="FFC00000"/>
        <rFont val="Noto Sans CJK SC"/>
        <family val="2"/>
      </rPr>
      <t xml:space="preserve">예측 정확도를 스스로 검증하기 위한 도구입니다</t>
    </r>
    <r>
      <rPr>
        <i val="true"/>
        <sz val="11"/>
        <color rgb="FFC00000"/>
        <rFont val="Arial"/>
        <family val="0"/>
        <charset val="1"/>
      </rPr>
      <t xml:space="preserve">.</t>
    </r>
  </si>
  <si>
    <t xml:space="preserve">기준일</t>
  </si>
  <si>
    <t xml:space="preserve">종목코드</t>
  </si>
  <si>
    <t xml:space="preserve">종목명</t>
  </si>
  <si>
    <t xml:space="preserve">오늘종가</t>
  </si>
  <si>
    <t xml:space="preserve">예측 내일종가</t>
  </si>
  <si>
    <t xml:space="preserve">예측 내일수익률</t>
  </si>
  <si>
    <t xml:space="preserve">실제 내일종가</t>
  </si>
  <si>
    <t xml:space="preserve">실제 내일수익률</t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</si>
  <si>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일 방향적중</t>
    </r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</si>
  <si>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일 절대오차</t>
    </r>
  </si>
  <si>
    <r>
      <rPr>
        <b val="true"/>
        <sz val="11"/>
        <color rgb="FFFFFFFF"/>
        <rFont val="Noto Sans CJK SC"/>
        <family val="2"/>
      </rPr>
      <t xml:space="preserve">예측 </t>
    </r>
    <r>
      <rPr>
        <b val="true"/>
        <sz val="11"/>
        <color rgb="FFFFFFFF"/>
        <rFont val="Arial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일후종가</t>
    </r>
  </si>
  <si>
    <r>
      <rPr>
        <b val="true"/>
        <sz val="11"/>
        <color rgb="FFFFFFFF"/>
        <rFont val="Noto Sans CJK SC"/>
        <family val="2"/>
      </rPr>
      <t xml:space="preserve">예측 </t>
    </r>
    <r>
      <rPr>
        <b val="true"/>
        <sz val="11"/>
        <color rgb="FFFFFFFF"/>
        <rFont val="Arial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일수익률</t>
    </r>
  </si>
  <si>
    <r>
      <rPr>
        <b val="true"/>
        <sz val="11"/>
        <color rgb="FFFFFFFF"/>
        <rFont val="Noto Sans CJK SC"/>
        <family val="2"/>
      </rPr>
      <t xml:space="preserve">실제 </t>
    </r>
    <r>
      <rPr>
        <b val="true"/>
        <sz val="11"/>
        <color rgb="FFFFFFFF"/>
        <rFont val="Arial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일후종가</t>
    </r>
  </si>
  <si>
    <r>
      <rPr>
        <b val="true"/>
        <sz val="11"/>
        <color rgb="FFFFFFFF"/>
        <rFont val="Noto Sans CJK SC"/>
        <family val="2"/>
      </rPr>
      <t xml:space="preserve">실제 </t>
    </r>
    <r>
      <rPr>
        <b val="true"/>
        <sz val="11"/>
        <color rgb="FFFFFFFF"/>
        <rFont val="Arial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일수익률</t>
    </r>
  </si>
  <si>
    <r>
      <rPr>
        <b val="true"/>
        <sz val="11"/>
        <color rgb="FFFFFFFF"/>
        <rFont val="Arial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일 방향적중</t>
    </r>
  </si>
  <si>
    <r>
      <rPr>
        <b val="true"/>
        <sz val="11"/>
        <color rgb="FFFFFFFF"/>
        <rFont val="Arial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일 절대오차</t>
    </r>
  </si>
  <si>
    <t xml:space="preserve">메모</t>
  </si>
  <si>
    <t xml:space="preserve">2026-07-09</t>
  </si>
  <si>
    <t xml:space="preserve">005930.KS</t>
  </si>
  <si>
    <t xml:space="preserve">삼성전자</t>
  </si>
  <si>
    <r>
      <rPr>
        <sz val="11"/>
        <color rgb="FF0000FF"/>
        <rFont val="Noto Sans CJK SC"/>
        <family val="2"/>
      </rPr>
      <t xml:space="preserve">예시 데이터 </t>
    </r>
    <r>
      <rPr>
        <sz val="11"/>
        <color rgb="FF0000FF"/>
        <rFont val="Arial"/>
        <family val="0"/>
        <charset val="1"/>
      </rPr>
      <t xml:space="preserve">- </t>
    </r>
    <r>
      <rPr>
        <sz val="11"/>
        <color rgb="FF0000FF"/>
        <rFont val="Noto Sans CJK SC"/>
        <family val="2"/>
      </rPr>
      <t xml:space="preserve">삭제 후 사용하세요</t>
    </r>
  </si>
  <si>
    <t xml:space="preserve">2026-07-08</t>
  </si>
  <si>
    <r>
      <rPr>
        <sz val="11"/>
        <color rgb="FF0000FF"/>
        <rFont val="Noto Sans CJK SC"/>
        <family val="2"/>
      </rPr>
      <t xml:space="preserve">예시 데이터 </t>
    </r>
    <r>
      <rPr>
        <sz val="11"/>
        <color rgb="FF0000FF"/>
        <rFont val="Arial"/>
        <family val="0"/>
        <charset val="1"/>
      </rPr>
      <t xml:space="preserve">- 7</t>
    </r>
    <r>
      <rPr>
        <sz val="11"/>
        <color rgb="FF0000FF"/>
        <rFont val="Noto Sans CJK SC"/>
        <family val="2"/>
      </rPr>
      <t xml:space="preserve">일 실제값 미입력 상태</t>
    </r>
  </si>
  <si>
    <t xml:space="preserve">2026-07-07</t>
  </si>
  <si>
    <t xml:space="preserve">000660.KS</t>
  </si>
  <si>
    <r>
      <rPr>
        <sz val="11"/>
        <color rgb="FF0000FF"/>
        <rFont val="Arial"/>
        <family val="0"/>
        <charset val="1"/>
      </rPr>
      <t xml:space="preserve">SK</t>
    </r>
    <r>
      <rPr>
        <sz val="11"/>
        <color rgb="FF0000FF"/>
        <rFont val="Noto Sans CJK SC"/>
        <family val="2"/>
      </rPr>
      <t xml:space="preserve">하이닉스</t>
    </r>
  </si>
  <si>
    <r>
      <rPr>
        <sz val="11"/>
        <color rgb="FF0000FF"/>
        <rFont val="Noto Sans CJK SC"/>
        <family val="2"/>
      </rPr>
      <t xml:space="preserve">예시 데이터 </t>
    </r>
    <r>
      <rPr>
        <sz val="11"/>
        <color rgb="FF0000FF"/>
        <rFont val="Arial"/>
        <family val="0"/>
        <charset val="1"/>
      </rPr>
      <t xml:space="preserve">- </t>
    </r>
    <r>
      <rPr>
        <sz val="11"/>
        <color rgb="FF0000FF"/>
        <rFont val="Noto Sans CJK SC"/>
        <family val="2"/>
      </rPr>
      <t xml:space="preserve">아직 실제값 입력 전</t>
    </r>
  </si>
  <si>
    <t xml:space="preserve">예측 성과 요약 대시보드</t>
  </si>
  <si>
    <r>
      <rPr>
        <i val="true"/>
        <sz val="10"/>
        <color rgb="FF808080"/>
        <rFont val="Noto Sans CJK SC"/>
        <family val="2"/>
      </rPr>
      <t xml:space="preserve">※ 아래 지표는 예측기록 시트에 실제값이 입력될 때마다 자동으로 갱신됩니다</t>
    </r>
    <r>
      <rPr>
        <i val="true"/>
        <sz val="10"/>
        <color rgb="FF808080"/>
        <rFont val="Arial"/>
        <family val="0"/>
        <charset val="1"/>
      </rPr>
      <t xml:space="preserve">.</t>
    </r>
  </si>
  <si>
    <r>
      <rPr>
        <b val="true"/>
        <sz val="13"/>
        <color rgb="FFFFFFFF"/>
        <rFont val="Arial"/>
        <family val="0"/>
        <charset val="1"/>
      </rPr>
      <t xml:space="preserve">1</t>
    </r>
    <r>
      <rPr>
        <b val="true"/>
        <sz val="13"/>
        <color rgb="FFFFFFFF"/>
        <rFont val="Noto Sans CJK SC"/>
        <family val="2"/>
      </rPr>
      <t xml:space="preserve">일</t>
    </r>
    <r>
      <rPr>
        <b val="true"/>
        <sz val="13"/>
        <color rgb="FFFFFFFF"/>
        <rFont val="Arial"/>
        <family val="0"/>
        <charset val="1"/>
      </rPr>
      <t xml:space="preserve">(</t>
    </r>
    <r>
      <rPr>
        <b val="true"/>
        <sz val="13"/>
        <color rgb="FFFFFFFF"/>
        <rFont val="Noto Sans CJK SC"/>
        <family val="2"/>
      </rPr>
      <t xml:space="preserve">내일 종가</t>
    </r>
    <r>
      <rPr>
        <b val="true"/>
        <sz val="13"/>
        <color rgb="FFFFFFFF"/>
        <rFont val="Arial"/>
        <family val="0"/>
        <charset val="1"/>
      </rPr>
      <t xml:space="preserve">) </t>
    </r>
    <r>
      <rPr>
        <b val="true"/>
        <sz val="13"/>
        <color rgb="FFFFFFFF"/>
        <rFont val="Noto Sans CJK SC"/>
        <family val="2"/>
      </rPr>
      <t xml:space="preserve">예측 성과</t>
    </r>
  </si>
  <si>
    <r>
      <rPr>
        <sz val="11"/>
        <color rgb="FF000000"/>
        <rFont val="Noto Sans CJK SC"/>
        <family val="2"/>
      </rPr>
      <t xml:space="preserve">총 예측 건수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실제값 입력 완료</t>
    </r>
    <r>
      <rPr>
        <sz val="11"/>
        <color rgb="FF000000"/>
        <rFont val="Arial"/>
        <family val="0"/>
        <charset val="1"/>
      </rPr>
      <t xml:space="preserve">)</t>
    </r>
  </si>
  <si>
    <t xml:space="preserve">적중 건수</t>
  </si>
  <si>
    <t xml:space="preserve">방향 정확도</t>
  </si>
  <si>
    <r>
      <rPr>
        <sz val="11"/>
        <color rgb="FF000000"/>
        <rFont val="Noto Sans CJK SC"/>
        <family val="2"/>
      </rPr>
      <t xml:space="preserve">평균 절대 오차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수익률 기준</t>
    </r>
    <r>
      <rPr>
        <sz val="11"/>
        <color rgb="FF000000"/>
        <rFont val="Arial"/>
        <family val="0"/>
        <charset val="1"/>
      </rPr>
      <t xml:space="preserve">)</t>
    </r>
  </si>
  <si>
    <r>
      <rPr>
        <b val="true"/>
        <sz val="13"/>
        <color rgb="FFFFFFFF"/>
        <rFont val="Arial"/>
        <family val="0"/>
        <charset val="1"/>
      </rPr>
      <t xml:space="preserve">7</t>
    </r>
    <r>
      <rPr>
        <b val="true"/>
        <sz val="13"/>
        <color rgb="FFFFFFFF"/>
        <rFont val="Noto Sans CJK SC"/>
        <family val="2"/>
      </rPr>
      <t xml:space="preserve">일</t>
    </r>
    <r>
      <rPr>
        <b val="true"/>
        <sz val="13"/>
        <color rgb="FFFFFFFF"/>
        <rFont val="Arial"/>
        <family val="0"/>
        <charset val="1"/>
      </rPr>
      <t xml:space="preserve">(</t>
    </r>
    <r>
      <rPr>
        <b val="true"/>
        <sz val="13"/>
        <color rgb="FFFFFFFF"/>
        <rFont val="Noto Sans CJK SC"/>
        <family val="2"/>
      </rPr>
      <t xml:space="preserve">일주일 후</t>
    </r>
    <r>
      <rPr>
        <b val="true"/>
        <sz val="13"/>
        <color rgb="FFFFFFFF"/>
        <rFont val="Arial"/>
        <family val="0"/>
        <charset val="1"/>
      </rPr>
      <t xml:space="preserve">) </t>
    </r>
    <r>
      <rPr>
        <b val="true"/>
        <sz val="13"/>
        <color rgb="FFFFFFFF"/>
        <rFont val="Noto Sans CJK SC"/>
        <family val="2"/>
      </rPr>
      <t xml:space="preserve">예측 성과</t>
    </r>
  </si>
  <si>
    <t xml:space="preserve">참고 기준선</t>
  </si>
  <si>
    <r>
      <rPr>
        <sz val="11"/>
        <color rgb="FF000000"/>
        <rFont val="Noto Sans CJK SC"/>
        <family val="2"/>
      </rPr>
      <t xml:space="preserve">랜덤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동전 던지기</t>
    </r>
    <r>
      <rPr>
        <sz val="11"/>
        <color rgb="FF000000"/>
        <rFont val="Arial"/>
        <family val="0"/>
        <charset val="1"/>
      </rPr>
      <t xml:space="preserve">) </t>
    </r>
    <r>
      <rPr>
        <sz val="11"/>
        <color rgb="FF000000"/>
        <rFont val="Noto Sans CJK SC"/>
        <family val="2"/>
      </rPr>
      <t xml:space="preserve">수준</t>
    </r>
  </si>
  <si>
    <r>
      <rPr>
        <sz val="11"/>
        <color rgb="FF000000"/>
        <rFont val="Noto Sans CJK SC"/>
        <family val="2"/>
      </rPr>
      <t xml:space="preserve">실전에서 의미 있다고 보는 수준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참고용</t>
    </r>
    <r>
      <rPr>
        <sz val="11"/>
        <color rgb="FF000000"/>
        <rFont val="Arial"/>
        <family val="0"/>
        <charset val="1"/>
      </rPr>
      <t xml:space="preserve">)</t>
    </r>
  </si>
  <si>
    <t xml:space="preserve">52% ~ 58%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</si>
</sst>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6"/>
      <color rgb="FF1F3864"/>
      <name val="Noto Sans CJK SC"/>
      <family val="2"/>
    </font>
    <font>
      <sz val="11"/>
      <color rgb="FF000000"/>
      <name val="Arial"/>
      <family val="0"/>
      <charset val="1"/>
    </font>
    <font>
      <sz val="11"/>
      <color rgb="FF000000"/>
      <name val="Noto Sans CJK SC"/>
      <family val="2"/>
    </font>
    <font>
      <b val="true"/>
      <sz val="12"/>
      <color rgb="FF1F3864"/>
      <name val="Arial"/>
      <family val="0"/>
      <charset val="1"/>
    </font>
    <font>
      <b val="true"/>
      <sz val="12"/>
      <color rgb="FF1F3864"/>
      <name val="Noto Sans CJK SC"/>
      <family val="2"/>
    </font>
    <font>
      <i val="true"/>
      <sz val="11"/>
      <color rgb="FFC00000"/>
      <name val="Noto Sans CJK SC"/>
      <family val="2"/>
    </font>
    <font>
      <i val="true"/>
      <sz val="11"/>
      <color rgb="FFC00000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FF"/>
      <name val="Noto Sans CJK SC"/>
      <family val="2"/>
    </font>
    <font>
      <i val="true"/>
      <sz val="10"/>
      <color rgb="FF808080"/>
      <name val="Noto Sans CJK SC"/>
      <family val="2"/>
    </font>
    <font>
      <i val="true"/>
      <sz val="10"/>
      <color rgb="FF8080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7.15" hidden="false" customHeight="false" outlineLevel="0" collapsed="false">
      <c r="A3" s="3" t="s">
        <v>1</v>
      </c>
    </row>
    <row r="4" customFormat="false" ht="17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/>
    </row>
    <row r="6" customFormat="false" ht="19.4" hidden="false" customHeight="false" outlineLevel="0" collapsed="false">
      <c r="A6" s="4" t="s">
        <v>3</v>
      </c>
    </row>
    <row r="7" customFormat="false" ht="17.15" hidden="false" customHeight="false" outlineLevel="0" collapsed="false">
      <c r="A7" s="3" t="s">
        <v>4</v>
      </c>
    </row>
    <row r="8" customFormat="false" ht="17.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/>
    </row>
    <row r="10" customFormat="false" ht="19.4" hidden="false" customHeight="false" outlineLevel="0" collapsed="false">
      <c r="A10" s="4" t="s">
        <v>6</v>
      </c>
    </row>
    <row r="11" customFormat="false" ht="17.15" hidden="false" customHeight="false" outlineLevel="0" collapsed="false">
      <c r="A11" s="2" t="s">
        <v>7</v>
      </c>
    </row>
    <row r="12" customFormat="false" ht="17.15" hidden="false" customHeight="false" outlineLevel="0" collapsed="false">
      <c r="A12" s="2" t="s">
        <v>8</v>
      </c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2" t="s">
        <v>10</v>
      </c>
    </row>
    <row r="15" customFormat="false" ht="17.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9.4" hidden="false" customHeight="false" outlineLevel="0" collapsed="false">
      <c r="A17" s="4" t="s">
        <v>12</v>
      </c>
    </row>
    <row r="18" customFormat="false" ht="17.15" hidden="false" customHeight="false" outlineLevel="0" collapsed="false">
      <c r="A18" s="3" t="s">
        <v>13</v>
      </c>
    </row>
    <row r="19" customFormat="false" ht="17.15" hidden="false" customHeight="false" outlineLevel="0" collapsed="false">
      <c r="A19" s="3" t="s">
        <v>14</v>
      </c>
    </row>
    <row r="20" customFormat="false" ht="17.15" hidden="false" customHeight="false" outlineLevel="0" collapsed="false">
      <c r="A20" s="3" t="s">
        <v>15</v>
      </c>
    </row>
    <row r="21" customFormat="false" ht="17.15" hidden="false" customHeight="false" outlineLevel="0" collapsed="false">
      <c r="A21" s="3" t="s">
        <v>16</v>
      </c>
    </row>
    <row r="22" customFormat="false" ht="17.15" hidden="false" customHeight="false" outlineLevel="0" collapsed="false">
      <c r="A22" s="3" t="s">
        <v>17</v>
      </c>
    </row>
    <row r="23" customFormat="false" ht="17.15" hidden="false" customHeight="false" outlineLevel="0" collapsed="false">
      <c r="A23" s="2" t="s">
        <v>18</v>
      </c>
    </row>
    <row r="24" customFormat="false" ht="17.15" hidden="false" customHeight="false" outlineLevel="0" collapsed="false">
      <c r="A24" s="3" t="s">
        <v>19</v>
      </c>
    </row>
    <row r="25" customFormat="false" ht="17.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2"/>
    </row>
    <row r="27" customFormat="false" ht="19.4" hidden="false" customHeight="false" outlineLevel="0" collapsed="false">
      <c r="A27" s="4" t="s">
        <v>21</v>
      </c>
    </row>
    <row r="28" customFormat="false" ht="17.15" hidden="false" customHeight="false" outlineLevel="0" collapsed="false">
      <c r="A28" s="5" t="s">
        <v>22</v>
      </c>
    </row>
    <row r="29" customFormat="false" ht="17.15" hidden="false" customHeight="false" outlineLevel="0" collapsed="false">
      <c r="A29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8" min="5" style="0" width="13"/>
    <col collapsed="false" customWidth="true" hidden="false" outlineLevel="0" max="10" min="9" style="0" width="11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6" min="15" style="0" width="11"/>
    <col collapsed="false" customWidth="true" hidden="false" outlineLevel="0" max="17" min="17" style="0" width="28"/>
  </cols>
  <sheetData>
    <row r="1" customFormat="false" ht="31.5" hidden="false" customHeight="true" outlineLevel="0" collapsed="false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7" t="s">
        <v>32</v>
      </c>
      <c r="J1" s="7" t="s">
        <v>33</v>
      </c>
      <c r="K1" s="6" t="s">
        <v>34</v>
      </c>
      <c r="L1" s="6" t="s">
        <v>35</v>
      </c>
      <c r="M1" s="6" t="s">
        <v>36</v>
      </c>
      <c r="N1" s="6" t="s">
        <v>37</v>
      </c>
      <c r="O1" s="7" t="s">
        <v>38</v>
      </c>
      <c r="P1" s="7" t="s">
        <v>39</v>
      </c>
      <c r="Q1" s="6" t="s">
        <v>40</v>
      </c>
    </row>
    <row r="2" customFormat="false" ht="17.15" hidden="false" customHeight="false" outlineLevel="0" collapsed="false">
      <c r="A2" s="8" t="s">
        <v>41</v>
      </c>
      <c r="B2" s="8" t="s">
        <v>42</v>
      </c>
      <c r="C2" s="9" t="s">
        <v>43</v>
      </c>
      <c r="D2" s="10" t="n">
        <v>78500</v>
      </c>
      <c r="E2" s="10" t="n">
        <v>78900</v>
      </c>
      <c r="F2" s="11" t="n">
        <f aca="false">IF(OR(E2="",D2=""),"",(E2-D2)/D2)</f>
        <v>0.00509554140127389</v>
      </c>
      <c r="G2" s="10" t="n">
        <v>79200</v>
      </c>
      <c r="H2" s="11" t="n">
        <f aca="false">IF(OR(G2="",D2=""),"",(G2-D2)/D2)</f>
        <v>0.0089171974522293</v>
      </c>
      <c r="I2" s="12" t="str">
        <f aca="false">IF(G2="","",IF(SIGN(F2)=SIGN(H2),"적중","실패"))</f>
        <v>적중</v>
      </c>
      <c r="J2" s="11" t="n">
        <f aca="false">IF(G2="","",ABS(H2-F2))</f>
        <v>0.00382165605095541</v>
      </c>
      <c r="K2" s="10" t="n">
        <v>80100</v>
      </c>
      <c r="L2" s="11" t="n">
        <f aca="false">IF(OR(K2="",D2=""),"",(K2-D2)/D2)</f>
        <v>0.0203821656050955</v>
      </c>
      <c r="M2" s="10" t="n">
        <v>79800</v>
      </c>
      <c r="N2" s="11" t="n">
        <f aca="false">IF(OR(M2="",D2=""),"",(M2-D2)/D2)</f>
        <v>0.0165605095541401</v>
      </c>
      <c r="O2" s="12" t="str">
        <f aca="false">IF(M2="","",IF(SIGN(L2)=SIGN(N2),"적중","실패"))</f>
        <v>적중</v>
      </c>
      <c r="P2" s="11" t="n">
        <f aca="false">IF(M2="","",ABS(N2-L2))</f>
        <v>0.00382165605095541</v>
      </c>
      <c r="Q2" s="9" t="s">
        <v>44</v>
      </c>
    </row>
    <row r="3" customFormat="false" ht="17.15" hidden="false" customHeight="false" outlineLevel="0" collapsed="false">
      <c r="A3" s="8" t="s">
        <v>45</v>
      </c>
      <c r="B3" s="8" t="s">
        <v>42</v>
      </c>
      <c r="C3" s="9" t="s">
        <v>43</v>
      </c>
      <c r="D3" s="10" t="n">
        <v>77900</v>
      </c>
      <c r="E3" s="10" t="n">
        <v>78200</v>
      </c>
      <c r="F3" s="11" t="n">
        <f aca="false">IF(OR(E3="",D3=""),"",(E3-D3)/D3)</f>
        <v>0.00385109114249037</v>
      </c>
      <c r="G3" s="10" t="n">
        <v>78500</v>
      </c>
      <c r="H3" s="11" t="n">
        <f aca="false">IF(OR(G3="",D3=""),"",(G3-D3)/D3)</f>
        <v>0.00770218228498075</v>
      </c>
      <c r="I3" s="12" t="str">
        <f aca="false">IF(G3="","",IF(SIGN(F3)=SIGN(H3),"적중","실패"))</f>
        <v>적중</v>
      </c>
      <c r="J3" s="11" t="n">
        <f aca="false">IF(G3="","",ABS(H3-F3))</f>
        <v>0.00385109114249037</v>
      </c>
      <c r="K3" s="10" t="n">
        <v>79000</v>
      </c>
      <c r="L3" s="11" t="n">
        <f aca="false">IF(OR(K3="",D3=""),"",(K3-D3)/D3)</f>
        <v>0.0141206675224647</v>
      </c>
      <c r="M3" s="10"/>
      <c r="N3" s="11" t="str">
        <f aca="false">IF(OR(M3="",D3=""),"",(M3-D3)/D3)</f>
        <v/>
      </c>
      <c r="O3" s="12" t="str">
        <f aca="false">IF(M3="","",IF(SIGN(L3)=SIGN(N3),"적중","실패"))</f>
        <v/>
      </c>
      <c r="P3" s="11" t="str">
        <f aca="false">IF(M3="","",ABS(N3-L3))</f>
        <v/>
      </c>
      <c r="Q3" s="9" t="s">
        <v>46</v>
      </c>
    </row>
    <row r="4" customFormat="false" ht="17.15" hidden="false" customHeight="false" outlineLevel="0" collapsed="false">
      <c r="A4" s="8" t="s">
        <v>47</v>
      </c>
      <c r="B4" s="8" t="s">
        <v>48</v>
      </c>
      <c r="C4" s="8" t="s">
        <v>49</v>
      </c>
      <c r="D4" s="10" t="n">
        <v>215000</v>
      </c>
      <c r="E4" s="10" t="n">
        <v>217500</v>
      </c>
      <c r="F4" s="11" t="n">
        <f aca="false">IF(OR(E4="",D4=""),"",(E4-D4)/D4)</f>
        <v>0.0116279069767442</v>
      </c>
      <c r="G4" s="10"/>
      <c r="H4" s="11" t="str">
        <f aca="false">IF(OR(G4="",D4=""),"",(G4-D4)/D4)</f>
        <v/>
      </c>
      <c r="I4" s="12" t="str">
        <f aca="false">IF(G4="","",IF(SIGN(F4)=SIGN(H4),"적중","실패"))</f>
        <v/>
      </c>
      <c r="J4" s="11" t="str">
        <f aca="false">IF(G4="","",ABS(H4-F4))</f>
        <v/>
      </c>
      <c r="K4" s="10" t="n">
        <v>222000</v>
      </c>
      <c r="L4" s="11" t="n">
        <f aca="false">IF(OR(K4="",D4=""),"",(K4-D4)/D4)</f>
        <v>0.0325581395348837</v>
      </c>
      <c r="M4" s="10"/>
      <c r="N4" s="11" t="str">
        <f aca="false">IF(OR(M4="",D4=""),"",(M4-D4)/D4)</f>
        <v/>
      </c>
      <c r="O4" s="12" t="str">
        <f aca="false">IF(M4="","",IF(SIGN(L4)=SIGN(N4),"적중","실패"))</f>
        <v/>
      </c>
      <c r="P4" s="11" t="str">
        <f aca="false">IF(M4="","",ABS(N4-L4))</f>
        <v/>
      </c>
      <c r="Q4" s="9" t="s">
        <v>50</v>
      </c>
    </row>
    <row r="5" customFormat="false" ht="15" hidden="false" customHeight="false" outlineLevel="0" collapsed="false">
      <c r="A5" s="13"/>
      <c r="B5" s="13"/>
      <c r="C5" s="13"/>
      <c r="D5" s="14"/>
      <c r="E5" s="14"/>
      <c r="F5" s="15" t="str">
        <f aca="false">IF(OR(E5="",D5=""),"",(E5-D5)/D5)</f>
        <v/>
      </c>
      <c r="G5" s="14"/>
      <c r="H5" s="15" t="str">
        <f aca="false">IF(OR(G5="",D5=""),"",(G5-D5)/D5)</f>
        <v/>
      </c>
      <c r="I5" s="16" t="str">
        <f aca="false">IF(G5="","",IF(SIGN(F5)=SIGN(H5),"적중","실패"))</f>
        <v/>
      </c>
      <c r="J5" s="15" t="str">
        <f aca="false">IF(G5="","",ABS(H5-F5))</f>
        <v/>
      </c>
      <c r="K5" s="14"/>
      <c r="L5" s="15" t="str">
        <f aca="false">IF(OR(K5="",D5=""),"",(K5-D5)/D5)</f>
        <v/>
      </c>
      <c r="M5" s="14"/>
      <c r="N5" s="15" t="str">
        <f aca="false">IF(OR(M5="",D5=""),"",(M5-D5)/D5)</f>
        <v/>
      </c>
      <c r="O5" s="16" t="str">
        <f aca="false">IF(M5="","",IF(SIGN(L5)=SIGN(N5),"적중","실패"))</f>
        <v/>
      </c>
      <c r="P5" s="15" t="str">
        <f aca="false">IF(M5="","",ABS(N5-L5))</f>
        <v/>
      </c>
      <c r="Q5" s="13"/>
    </row>
    <row r="6" customFormat="false" ht="15" hidden="false" customHeight="false" outlineLevel="0" collapsed="false">
      <c r="A6" s="13"/>
      <c r="B6" s="13"/>
      <c r="C6" s="13"/>
      <c r="D6" s="14"/>
      <c r="E6" s="14"/>
      <c r="F6" s="15" t="str">
        <f aca="false">IF(OR(E6="",D6=""),"",(E6-D6)/D6)</f>
        <v/>
      </c>
      <c r="G6" s="14"/>
      <c r="H6" s="15" t="str">
        <f aca="false">IF(OR(G6="",D6=""),"",(G6-D6)/D6)</f>
        <v/>
      </c>
      <c r="I6" s="16" t="str">
        <f aca="false">IF(G6="","",IF(SIGN(F6)=SIGN(H6),"적중","실패"))</f>
        <v/>
      </c>
      <c r="J6" s="15" t="str">
        <f aca="false">IF(G6="","",ABS(H6-F6))</f>
        <v/>
      </c>
      <c r="K6" s="14"/>
      <c r="L6" s="15" t="str">
        <f aca="false">IF(OR(K6="",D6=""),"",(K6-D6)/D6)</f>
        <v/>
      </c>
      <c r="M6" s="14"/>
      <c r="N6" s="15" t="str">
        <f aca="false">IF(OR(M6="",D6=""),"",(M6-D6)/D6)</f>
        <v/>
      </c>
      <c r="O6" s="16" t="str">
        <f aca="false">IF(M6="","",IF(SIGN(L6)=SIGN(N6),"적중","실패"))</f>
        <v/>
      </c>
      <c r="P6" s="15" t="str">
        <f aca="false">IF(M6="","",ABS(N6-L6))</f>
        <v/>
      </c>
      <c r="Q6" s="13"/>
    </row>
    <row r="7" customFormat="false" ht="15" hidden="false" customHeight="false" outlineLevel="0" collapsed="false">
      <c r="A7" s="13"/>
      <c r="B7" s="13"/>
      <c r="C7" s="13"/>
      <c r="D7" s="14"/>
      <c r="E7" s="14"/>
      <c r="F7" s="15" t="str">
        <f aca="false">IF(OR(E7="",D7=""),"",(E7-D7)/D7)</f>
        <v/>
      </c>
      <c r="G7" s="14"/>
      <c r="H7" s="15" t="str">
        <f aca="false">IF(OR(G7="",D7=""),"",(G7-D7)/D7)</f>
        <v/>
      </c>
      <c r="I7" s="16" t="str">
        <f aca="false">IF(G7="","",IF(SIGN(F7)=SIGN(H7),"적중","실패"))</f>
        <v/>
      </c>
      <c r="J7" s="15" t="str">
        <f aca="false">IF(G7="","",ABS(H7-F7))</f>
        <v/>
      </c>
      <c r="K7" s="14"/>
      <c r="L7" s="15" t="str">
        <f aca="false">IF(OR(K7="",D7=""),"",(K7-D7)/D7)</f>
        <v/>
      </c>
      <c r="M7" s="14"/>
      <c r="N7" s="15" t="str">
        <f aca="false">IF(OR(M7="",D7=""),"",(M7-D7)/D7)</f>
        <v/>
      </c>
      <c r="O7" s="16" t="str">
        <f aca="false">IF(M7="","",IF(SIGN(L7)=SIGN(N7),"적중","실패"))</f>
        <v/>
      </c>
      <c r="P7" s="15" t="str">
        <f aca="false">IF(M7="","",ABS(N7-L7))</f>
        <v/>
      </c>
      <c r="Q7" s="13"/>
    </row>
    <row r="8" customFormat="false" ht="15" hidden="false" customHeight="false" outlineLevel="0" collapsed="false">
      <c r="A8" s="13"/>
      <c r="B8" s="13"/>
      <c r="C8" s="13"/>
      <c r="D8" s="14"/>
      <c r="E8" s="14"/>
      <c r="F8" s="15" t="str">
        <f aca="false">IF(OR(E8="",D8=""),"",(E8-D8)/D8)</f>
        <v/>
      </c>
      <c r="G8" s="14"/>
      <c r="H8" s="15" t="str">
        <f aca="false">IF(OR(G8="",D8=""),"",(G8-D8)/D8)</f>
        <v/>
      </c>
      <c r="I8" s="16" t="str">
        <f aca="false">IF(G8="","",IF(SIGN(F8)=SIGN(H8),"적중","실패"))</f>
        <v/>
      </c>
      <c r="J8" s="15" t="str">
        <f aca="false">IF(G8="","",ABS(H8-F8))</f>
        <v/>
      </c>
      <c r="K8" s="14"/>
      <c r="L8" s="15" t="str">
        <f aca="false">IF(OR(K8="",D8=""),"",(K8-D8)/D8)</f>
        <v/>
      </c>
      <c r="M8" s="14"/>
      <c r="N8" s="15" t="str">
        <f aca="false">IF(OR(M8="",D8=""),"",(M8-D8)/D8)</f>
        <v/>
      </c>
      <c r="O8" s="16" t="str">
        <f aca="false">IF(M8="","",IF(SIGN(L8)=SIGN(N8),"적중","실패"))</f>
        <v/>
      </c>
      <c r="P8" s="15" t="str">
        <f aca="false">IF(M8="","",ABS(N8-L8))</f>
        <v/>
      </c>
      <c r="Q8" s="13"/>
    </row>
    <row r="9" customFormat="false" ht="15" hidden="false" customHeight="false" outlineLevel="0" collapsed="false">
      <c r="A9" s="13"/>
      <c r="B9" s="13"/>
      <c r="C9" s="13"/>
      <c r="D9" s="14"/>
      <c r="E9" s="14"/>
      <c r="F9" s="15" t="str">
        <f aca="false">IF(OR(E9="",D9=""),"",(E9-D9)/D9)</f>
        <v/>
      </c>
      <c r="G9" s="14"/>
      <c r="H9" s="15" t="str">
        <f aca="false">IF(OR(G9="",D9=""),"",(G9-D9)/D9)</f>
        <v/>
      </c>
      <c r="I9" s="16" t="str">
        <f aca="false">IF(G9="","",IF(SIGN(F9)=SIGN(H9),"적중","실패"))</f>
        <v/>
      </c>
      <c r="J9" s="15" t="str">
        <f aca="false">IF(G9="","",ABS(H9-F9))</f>
        <v/>
      </c>
      <c r="K9" s="14"/>
      <c r="L9" s="15" t="str">
        <f aca="false">IF(OR(K9="",D9=""),"",(K9-D9)/D9)</f>
        <v/>
      </c>
      <c r="M9" s="14"/>
      <c r="N9" s="15" t="str">
        <f aca="false">IF(OR(M9="",D9=""),"",(M9-D9)/D9)</f>
        <v/>
      </c>
      <c r="O9" s="16" t="str">
        <f aca="false">IF(M9="","",IF(SIGN(L9)=SIGN(N9),"적중","실패"))</f>
        <v/>
      </c>
      <c r="P9" s="15" t="str">
        <f aca="false">IF(M9="","",ABS(N9-L9))</f>
        <v/>
      </c>
      <c r="Q9" s="13"/>
    </row>
    <row r="10" customFormat="false" ht="15" hidden="false" customHeight="false" outlineLevel="0" collapsed="false">
      <c r="A10" s="13"/>
      <c r="B10" s="13"/>
      <c r="C10" s="13"/>
      <c r="D10" s="14"/>
      <c r="E10" s="14"/>
      <c r="F10" s="15" t="str">
        <f aca="false">IF(OR(E10="",D10=""),"",(E10-D10)/D10)</f>
        <v/>
      </c>
      <c r="G10" s="14"/>
      <c r="H10" s="15" t="str">
        <f aca="false">IF(OR(G10="",D10=""),"",(G10-D10)/D10)</f>
        <v/>
      </c>
      <c r="I10" s="16" t="str">
        <f aca="false">IF(G10="","",IF(SIGN(F10)=SIGN(H10),"적중","실패"))</f>
        <v/>
      </c>
      <c r="J10" s="15" t="str">
        <f aca="false">IF(G10="","",ABS(H10-F10))</f>
        <v/>
      </c>
      <c r="K10" s="14"/>
      <c r="L10" s="15" t="str">
        <f aca="false">IF(OR(K10="",D10=""),"",(K10-D10)/D10)</f>
        <v/>
      </c>
      <c r="M10" s="14"/>
      <c r="N10" s="15" t="str">
        <f aca="false">IF(OR(M10="",D10=""),"",(M10-D10)/D10)</f>
        <v/>
      </c>
      <c r="O10" s="16" t="str">
        <f aca="false">IF(M10="","",IF(SIGN(L10)=SIGN(N10),"적중","실패"))</f>
        <v/>
      </c>
      <c r="P10" s="15" t="str">
        <f aca="false">IF(M10="","",ABS(N10-L10))</f>
        <v/>
      </c>
      <c r="Q10" s="13"/>
    </row>
    <row r="11" customFormat="false" ht="15" hidden="false" customHeight="false" outlineLevel="0" collapsed="false">
      <c r="A11" s="13"/>
      <c r="B11" s="13"/>
      <c r="C11" s="13"/>
      <c r="D11" s="14"/>
      <c r="E11" s="14"/>
      <c r="F11" s="15" t="str">
        <f aca="false">IF(OR(E11="",D11=""),"",(E11-D11)/D11)</f>
        <v/>
      </c>
      <c r="G11" s="14"/>
      <c r="H11" s="15" t="str">
        <f aca="false">IF(OR(G11="",D11=""),"",(G11-D11)/D11)</f>
        <v/>
      </c>
      <c r="I11" s="16" t="str">
        <f aca="false">IF(G11="","",IF(SIGN(F11)=SIGN(H11),"적중","실패"))</f>
        <v/>
      </c>
      <c r="J11" s="15" t="str">
        <f aca="false">IF(G11="","",ABS(H11-F11))</f>
        <v/>
      </c>
      <c r="K11" s="14"/>
      <c r="L11" s="15" t="str">
        <f aca="false">IF(OR(K11="",D11=""),"",(K11-D11)/D11)</f>
        <v/>
      </c>
      <c r="M11" s="14"/>
      <c r="N11" s="15" t="str">
        <f aca="false">IF(OR(M11="",D11=""),"",(M11-D11)/D11)</f>
        <v/>
      </c>
      <c r="O11" s="16" t="str">
        <f aca="false">IF(M11="","",IF(SIGN(L11)=SIGN(N11),"적중","실패"))</f>
        <v/>
      </c>
      <c r="P11" s="15" t="str">
        <f aca="false">IF(M11="","",ABS(N11-L11))</f>
        <v/>
      </c>
      <c r="Q11" s="13"/>
    </row>
    <row r="12" customFormat="false" ht="15" hidden="false" customHeight="false" outlineLevel="0" collapsed="false">
      <c r="A12" s="13"/>
      <c r="B12" s="13"/>
      <c r="C12" s="13"/>
      <c r="D12" s="14"/>
      <c r="E12" s="14"/>
      <c r="F12" s="15" t="str">
        <f aca="false">IF(OR(E12="",D12=""),"",(E12-D12)/D12)</f>
        <v/>
      </c>
      <c r="G12" s="14"/>
      <c r="H12" s="15" t="str">
        <f aca="false">IF(OR(G12="",D12=""),"",(G12-D12)/D12)</f>
        <v/>
      </c>
      <c r="I12" s="16" t="str">
        <f aca="false">IF(G12="","",IF(SIGN(F12)=SIGN(H12),"적중","실패"))</f>
        <v/>
      </c>
      <c r="J12" s="15" t="str">
        <f aca="false">IF(G12="","",ABS(H12-F12))</f>
        <v/>
      </c>
      <c r="K12" s="14"/>
      <c r="L12" s="15" t="str">
        <f aca="false">IF(OR(K12="",D12=""),"",(K12-D12)/D12)</f>
        <v/>
      </c>
      <c r="M12" s="14"/>
      <c r="N12" s="15" t="str">
        <f aca="false">IF(OR(M12="",D12=""),"",(M12-D12)/D12)</f>
        <v/>
      </c>
      <c r="O12" s="16" t="str">
        <f aca="false">IF(M12="","",IF(SIGN(L12)=SIGN(N12),"적중","실패"))</f>
        <v/>
      </c>
      <c r="P12" s="15" t="str">
        <f aca="false">IF(M12="","",ABS(N12-L12))</f>
        <v/>
      </c>
      <c r="Q12" s="13"/>
    </row>
    <row r="13" customFormat="false" ht="15" hidden="false" customHeight="false" outlineLevel="0" collapsed="false">
      <c r="A13" s="13"/>
      <c r="B13" s="13"/>
      <c r="C13" s="13"/>
      <c r="D13" s="14"/>
      <c r="E13" s="14"/>
      <c r="F13" s="15" t="str">
        <f aca="false">IF(OR(E13="",D13=""),"",(E13-D13)/D13)</f>
        <v/>
      </c>
      <c r="G13" s="14"/>
      <c r="H13" s="15" t="str">
        <f aca="false">IF(OR(G13="",D13=""),"",(G13-D13)/D13)</f>
        <v/>
      </c>
      <c r="I13" s="16" t="str">
        <f aca="false">IF(G13="","",IF(SIGN(F13)=SIGN(H13),"적중","실패"))</f>
        <v/>
      </c>
      <c r="J13" s="15" t="str">
        <f aca="false">IF(G13="","",ABS(H13-F13))</f>
        <v/>
      </c>
      <c r="K13" s="14"/>
      <c r="L13" s="15" t="str">
        <f aca="false">IF(OR(K13="",D13=""),"",(K13-D13)/D13)</f>
        <v/>
      </c>
      <c r="M13" s="14"/>
      <c r="N13" s="15" t="str">
        <f aca="false">IF(OR(M13="",D13=""),"",(M13-D13)/D13)</f>
        <v/>
      </c>
      <c r="O13" s="16" t="str">
        <f aca="false">IF(M13="","",IF(SIGN(L13)=SIGN(N13),"적중","실패"))</f>
        <v/>
      </c>
      <c r="P13" s="15" t="str">
        <f aca="false">IF(M13="","",ABS(N13-L13))</f>
        <v/>
      </c>
      <c r="Q13" s="13"/>
    </row>
    <row r="14" customFormat="false" ht="15" hidden="false" customHeight="false" outlineLevel="0" collapsed="false">
      <c r="A14" s="13"/>
      <c r="B14" s="13"/>
      <c r="C14" s="13"/>
      <c r="D14" s="14"/>
      <c r="E14" s="14"/>
      <c r="F14" s="15" t="str">
        <f aca="false">IF(OR(E14="",D14=""),"",(E14-D14)/D14)</f>
        <v/>
      </c>
      <c r="G14" s="14"/>
      <c r="H14" s="15" t="str">
        <f aca="false">IF(OR(G14="",D14=""),"",(G14-D14)/D14)</f>
        <v/>
      </c>
      <c r="I14" s="16" t="str">
        <f aca="false">IF(G14="","",IF(SIGN(F14)=SIGN(H14),"적중","실패"))</f>
        <v/>
      </c>
      <c r="J14" s="15" t="str">
        <f aca="false">IF(G14="","",ABS(H14-F14))</f>
        <v/>
      </c>
      <c r="K14" s="14"/>
      <c r="L14" s="15" t="str">
        <f aca="false">IF(OR(K14="",D14=""),"",(K14-D14)/D14)</f>
        <v/>
      </c>
      <c r="M14" s="14"/>
      <c r="N14" s="15" t="str">
        <f aca="false">IF(OR(M14="",D14=""),"",(M14-D14)/D14)</f>
        <v/>
      </c>
      <c r="O14" s="16" t="str">
        <f aca="false">IF(M14="","",IF(SIGN(L14)=SIGN(N14),"적중","실패"))</f>
        <v/>
      </c>
      <c r="P14" s="15" t="str">
        <f aca="false">IF(M14="","",ABS(N14-L14))</f>
        <v/>
      </c>
      <c r="Q14" s="13"/>
    </row>
    <row r="15" customFormat="false" ht="15" hidden="false" customHeight="false" outlineLevel="0" collapsed="false">
      <c r="A15" s="13"/>
      <c r="B15" s="13"/>
      <c r="C15" s="13"/>
      <c r="D15" s="14"/>
      <c r="E15" s="14"/>
      <c r="F15" s="15" t="str">
        <f aca="false">IF(OR(E15="",D15=""),"",(E15-D15)/D15)</f>
        <v/>
      </c>
      <c r="G15" s="14"/>
      <c r="H15" s="15" t="str">
        <f aca="false">IF(OR(G15="",D15=""),"",(G15-D15)/D15)</f>
        <v/>
      </c>
      <c r="I15" s="16" t="str">
        <f aca="false">IF(G15="","",IF(SIGN(F15)=SIGN(H15),"적중","실패"))</f>
        <v/>
      </c>
      <c r="J15" s="15" t="str">
        <f aca="false">IF(G15="","",ABS(H15-F15))</f>
        <v/>
      </c>
      <c r="K15" s="14"/>
      <c r="L15" s="15" t="str">
        <f aca="false">IF(OR(K15="",D15=""),"",(K15-D15)/D15)</f>
        <v/>
      </c>
      <c r="M15" s="14"/>
      <c r="N15" s="15" t="str">
        <f aca="false">IF(OR(M15="",D15=""),"",(M15-D15)/D15)</f>
        <v/>
      </c>
      <c r="O15" s="16" t="str">
        <f aca="false">IF(M15="","",IF(SIGN(L15)=SIGN(N15),"적중","실패"))</f>
        <v/>
      </c>
      <c r="P15" s="15" t="str">
        <f aca="false">IF(M15="","",ABS(N15-L15))</f>
        <v/>
      </c>
      <c r="Q15" s="13"/>
    </row>
    <row r="16" customFormat="false" ht="15" hidden="false" customHeight="false" outlineLevel="0" collapsed="false">
      <c r="A16" s="13"/>
      <c r="B16" s="13"/>
      <c r="C16" s="13"/>
      <c r="D16" s="14"/>
      <c r="E16" s="14"/>
      <c r="F16" s="15" t="str">
        <f aca="false">IF(OR(E16="",D16=""),"",(E16-D16)/D16)</f>
        <v/>
      </c>
      <c r="G16" s="14"/>
      <c r="H16" s="15" t="str">
        <f aca="false">IF(OR(G16="",D16=""),"",(G16-D16)/D16)</f>
        <v/>
      </c>
      <c r="I16" s="16" t="str">
        <f aca="false">IF(G16="","",IF(SIGN(F16)=SIGN(H16),"적중","실패"))</f>
        <v/>
      </c>
      <c r="J16" s="15" t="str">
        <f aca="false">IF(G16="","",ABS(H16-F16))</f>
        <v/>
      </c>
      <c r="K16" s="14"/>
      <c r="L16" s="15" t="str">
        <f aca="false">IF(OR(K16="",D16=""),"",(K16-D16)/D16)</f>
        <v/>
      </c>
      <c r="M16" s="14"/>
      <c r="N16" s="15" t="str">
        <f aca="false">IF(OR(M16="",D16=""),"",(M16-D16)/D16)</f>
        <v/>
      </c>
      <c r="O16" s="16" t="str">
        <f aca="false">IF(M16="","",IF(SIGN(L16)=SIGN(N16),"적중","실패"))</f>
        <v/>
      </c>
      <c r="P16" s="15" t="str">
        <f aca="false">IF(M16="","",ABS(N16-L16))</f>
        <v/>
      </c>
      <c r="Q16" s="13"/>
    </row>
    <row r="17" customFormat="false" ht="15" hidden="false" customHeight="false" outlineLevel="0" collapsed="false">
      <c r="A17" s="13"/>
      <c r="B17" s="13"/>
      <c r="C17" s="13"/>
      <c r="D17" s="14"/>
      <c r="E17" s="14"/>
      <c r="F17" s="15" t="str">
        <f aca="false">IF(OR(E17="",D17=""),"",(E17-D17)/D17)</f>
        <v/>
      </c>
      <c r="G17" s="14"/>
      <c r="H17" s="15" t="str">
        <f aca="false">IF(OR(G17="",D17=""),"",(G17-D17)/D17)</f>
        <v/>
      </c>
      <c r="I17" s="16" t="str">
        <f aca="false">IF(G17="","",IF(SIGN(F17)=SIGN(H17),"적중","실패"))</f>
        <v/>
      </c>
      <c r="J17" s="15" t="str">
        <f aca="false">IF(G17="","",ABS(H17-F17))</f>
        <v/>
      </c>
      <c r="K17" s="14"/>
      <c r="L17" s="15" t="str">
        <f aca="false">IF(OR(K17="",D17=""),"",(K17-D17)/D17)</f>
        <v/>
      </c>
      <c r="M17" s="14"/>
      <c r="N17" s="15" t="str">
        <f aca="false">IF(OR(M17="",D17=""),"",(M17-D17)/D17)</f>
        <v/>
      </c>
      <c r="O17" s="16" t="str">
        <f aca="false">IF(M17="","",IF(SIGN(L17)=SIGN(N17),"적중","실패"))</f>
        <v/>
      </c>
      <c r="P17" s="15" t="str">
        <f aca="false">IF(M17="","",ABS(N17-L17))</f>
        <v/>
      </c>
      <c r="Q17" s="13"/>
    </row>
    <row r="18" customFormat="false" ht="15" hidden="false" customHeight="false" outlineLevel="0" collapsed="false">
      <c r="A18" s="13"/>
      <c r="B18" s="13"/>
      <c r="C18" s="13"/>
      <c r="D18" s="14"/>
      <c r="E18" s="14"/>
      <c r="F18" s="15" t="str">
        <f aca="false">IF(OR(E18="",D18=""),"",(E18-D18)/D18)</f>
        <v/>
      </c>
      <c r="G18" s="14"/>
      <c r="H18" s="15" t="str">
        <f aca="false">IF(OR(G18="",D18=""),"",(G18-D18)/D18)</f>
        <v/>
      </c>
      <c r="I18" s="16" t="str">
        <f aca="false">IF(G18="","",IF(SIGN(F18)=SIGN(H18),"적중","실패"))</f>
        <v/>
      </c>
      <c r="J18" s="15" t="str">
        <f aca="false">IF(G18="","",ABS(H18-F18))</f>
        <v/>
      </c>
      <c r="K18" s="14"/>
      <c r="L18" s="15" t="str">
        <f aca="false">IF(OR(K18="",D18=""),"",(K18-D18)/D18)</f>
        <v/>
      </c>
      <c r="M18" s="14"/>
      <c r="N18" s="15" t="str">
        <f aca="false">IF(OR(M18="",D18=""),"",(M18-D18)/D18)</f>
        <v/>
      </c>
      <c r="O18" s="16" t="str">
        <f aca="false">IF(M18="","",IF(SIGN(L18)=SIGN(N18),"적중","실패"))</f>
        <v/>
      </c>
      <c r="P18" s="15" t="str">
        <f aca="false">IF(M18="","",ABS(N18-L18))</f>
        <v/>
      </c>
      <c r="Q18" s="13"/>
    </row>
    <row r="19" customFormat="false" ht="15" hidden="false" customHeight="false" outlineLevel="0" collapsed="false">
      <c r="A19" s="13"/>
      <c r="B19" s="13"/>
      <c r="C19" s="13"/>
      <c r="D19" s="14"/>
      <c r="E19" s="14"/>
      <c r="F19" s="15" t="str">
        <f aca="false">IF(OR(E19="",D19=""),"",(E19-D19)/D19)</f>
        <v/>
      </c>
      <c r="G19" s="14"/>
      <c r="H19" s="15" t="str">
        <f aca="false">IF(OR(G19="",D19=""),"",(G19-D19)/D19)</f>
        <v/>
      </c>
      <c r="I19" s="16" t="str">
        <f aca="false">IF(G19="","",IF(SIGN(F19)=SIGN(H19),"적중","실패"))</f>
        <v/>
      </c>
      <c r="J19" s="15" t="str">
        <f aca="false">IF(G19="","",ABS(H19-F19))</f>
        <v/>
      </c>
      <c r="K19" s="14"/>
      <c r="L19" s="15" t="str">
        <f aca="false">IF(OR(K19="",D19=""),"",(K19-D19)/D19)</f>
        <v/>
      </c>
      <c r="M19" s="14"/>
      <c r="N19" s="15" t="str">
        <f aca="false">IF(OR(M19="",D19=""),"",(M19-D19)/D19)</f>
        <v/>
      </c>
      <c r="O19" s="16" t="str">
        <f aca="false">IF(M19="","",IF(SIGN(L19)=SIGN(N19),"적중","실패"))</f>
        <v/>
      </c>
      <c r="P19" s="15" t="str">
        <f aca="false">IF(M19="","",ABS(N19-L19))</f>
        <v/>
      </c>
      <c r="Q19" s="13"/>
    </row>
    <row r="20" customFormat="false" ht="15" hidden="false" customHeight="false" outlineLevel="0" collapsed="false">
      <c r="A20" s="13"/>
      <c r="B20" s="13"/>
      <c r="C20" s="13"/>
      <c r="D20" s="14"/>
      <c r="E20" s="14"/>
      <c r="F20" s="15" t="str">
        <f aca="false">IF(OR(E20="",D20=""),"",(E20-D20)/D20)</f>
        <v/>
      </c>
      <c r="G20" s="14"/>
      <c r="H20" s="15" t="str">
        <f aca="false">IF(OR(G20="",D20=""),"",(G20-D20)/D20)</f>
        <v/>
      </c>
      <c r="I20" s="16" t="str">
        <f aca="false">IF(G20="","",IF(SIGN(F20)=SIGN(H20),"적중","실패"))</f>
        <v/>
      </c>
      <c r="J20" s="15" t="str">
        <f aca="false">IF(G20="","",ABS(H20-F20))</f>
        <v/>
      </c>
      <c r="K20" s="14"/>
      <c r="L20" s="15" t="str">
        <f aca="false">IF(OR(K20="",D20=""),"",(K20-D20)/D20)</f>
        <v/>
      </c>
      <c r="M20" s="14"/>
      <c r="N20" s="15" t="str">
        <f aca="false">IF(OR(M20="",D20=""),"",(M20-D20)/D20)</f>
        <v/>
      </c>
      <c r="O20" s="16" t="str">
        <f aca="false">IF(M20="","",IF(SIGN(L20)=SIGN(N20),"적중","실패"))</f>
        <v/>
      </c>
      <c r="P20" s="15" t="str">
        <f aca="false">IF(M20="","",ABS(N20-L20))</f>
        <v/>
      </c>
      <c r="Q20" s="13"/>
    </row>
    <row r="21" customFormat="false" ht="15" hidden="false" customHeight="false" outlineLevel="0" collapsed="false">
      <c r="A21" s="13"/>
      <c r="B21" s="13"/>
      <c r="C21" s="13"/>
      <c r="D21" s="14"/>
      <c r="E21" s="14"/>
      <c r="F21" s="15" t="str">
        <f aca="false">IF(OR(E21="",D21=""),"",(E21-D21)/D21)</f>
        <v/>
      </c>
      <c r="G21" s="14"/>
      <c r="H21" s="15" t="str">
        <f aca="false">IF(OR(G21="",D21=""),"",(G21-D21)/D21)</f>
        <v/>
      </c>
      <c r="I21" s="16" t="str">
        <f aca="false">IF(G21="","",IF(SIGN(F21)=SIGN(H21),"적중","실패"))</f>
        <v/>
      </c>
      <c r="J21" s="15" t="str">
        <f aca="false">IF(G21="","",ABS(H21-F21))</f>
        <v/>
      </c>
      <c r="K21" s="14"/>
      <c r="L21" s="15" t="str">
        <f aca="false">IF(OR(K21="",D21=""),"",(K21-D21)/D21)</f>
        <v/>
      </c>
      <c r="M21" s="14"/>
      <c r="N21" s="15" t="str">
        <f aca="false">IF(OR(M21="",D21=""),"",(M21-D21)/D21)</f>
        <v/>
      </c>
      <c r="O21" s="16" t="str">
        <f aca="false">IF(M21="","",IF(SIGN(L21)=SIGN(N21),"적중","실패"))</f>
        <v/>
      </c>
      <c r="P21" s="15" t="str">
        <f aca="false">IF(M21="","",ABS(N21-L21))</f>
        <v/>
      </c>
      <c r="Q21" s="13"/>
    </row>
    <row r="22" customFormat="false" ht="15" hidden="false" customHeight="false" outlineLevel="0" collapsed="false">
      <c r="A22" s="13"/>
      <c r="B22" s="13"/>
      <c r="C22" s="13"/>
      <c r="D22" s="14"/>
      <c r="E22" s="14"/>
      <c r="F22" s="15" t="str">
        <f aca="false">IF(OR(E22="",D22=""),"",(E22-D22)/D22)</f>
        <v/>
      </c>
      <c r="G22" s="14"/>
      <c r="H22" s="15" t="str">
        <f aca="false">IF(OR(G22="",D22=""),"",(G22-D22)/D22)</f>
        <v/>
      </c>
      <c r="I22" s="16" t="str">
        <f aca="false">IF(G22="","",IF(SIGN(F22)=SIGN(H22),"적중","실패"))</f>
        <v/>
      </c>
      <c r="J22" s="15" t="str">
        <f aca="false">IF(G22="","",ABS(H22-F22))</f>
        <v/>
      </c>
      <c r="K22" s="14"/>
      <c r="L22" s="15" t="str">
        <f aca="false">IF(OR(K22="",D22=""),"",(K22-D22)/D22)</f>
        <v/>
      </c>
      <c r="M22" s="14"/>
      <c r="N22" s="15" t="str">
        <f aca="false">IF(OR(M22="",D22=""),"",(M22-D22)/D22)</f>
        <v/>
      </c>
      <c r="O22" s="16" t="str">
        <f aca="false">IF(M22="","",IF(SIGN(L22)=SIGN(N22),"적중","실패"))</f>
        <v/>
      </c>
      <c r="P22" s="15" t="str">
        <f aca="false">IF(M22="","",ABS(N22-L22))</f>
        <v/>
      </c>
      <c r="Q22" s="13"/>
    </row>
    <row r="23" customFormat="false" ht="15" hidden="false" customHeight="false" outlineLevel="0" collapsed="false">
      <c r="A23" s="13"/>
      <c r="B23" s="13"/>
      <c r="C23" s="13"/>
      <c r="D23" s="14"/>
      <c r="E23" s="14"/>
      <c r="F23" s="15" t="str">
        <f aca="false">IF(OR(E23="",D23=""),"",(E23-D23)/D23)</f>
        <v/>
      </c>
      <c r="G23" s="14"/>
      <c r="H23" s="15" t="str">
        <f aca="false">IF(OR(G23="",D23=""),"",(G23-D23)/D23)</f>
        <v/>
      </c>
      <c r="I23" s="16" t="str">
        <f aca="false">IF(G23="","",IF(SIGN(F23)=SIGN(H23),"적중","실패"))</f>
        <v/>
      </c>
      <c r="J23" s="15" t="str">
        <f aca="false">IF(G23="","",ABS(H23-F23))</f>
        <v/>
      </c>
      <c r="K23" s="14"/>
      <c r="L23" s="15" t="str">
        <f aca="false">IF(OR(K23="",D23=""),"",(K23-D23)/D23)</f>
        <v/>
      </c>
      <c r="M23" s="14"/>
      <c r="N23" s="15" t="str">
        <f aca="false">IF(OR(M23="",D23=""),"",(M23-D23)/D23)</f>
        <v/>
      </c>
      <c r="O23" s="16" t="str">
        <f aca="false">IF(M23="","",IF(SIGN(L23)=SIGN(N23),"적중","실패"))</f>
        <v/>
      </c>
      <c r="P23" s="15" t="str">
        <f aca="false">IF(M23="","",ABS(N23-L23))</f>
        <v/>
      </c>
      <c r="Q23" s="13"/>
    </row>
    <row r="24" customFormat="false" ht="15" hidden="false" customHeight="false" outlineLevel="0" collapsed="false">
      <c r="A24" s="13"/>
      <c r="B24" s="13"/>
      <c r="C24" s="13"/>
      <c r="D24" s="14"/>
      <c r="E24" s="14"/>
      <c r="F24" s="15" t="str">
        <f aca="false">IF(OR(E24="",D24=""),"",(E24-D24)/D24)</f>
        <v/>
      </c>
      <c r="G24" s="14"/>
      <c r="H24" s="15" t="str">
        <f aca="false">IF(OR(G24="",D24=""),"",(G24-D24)/D24)</f>
        <v/>
      </c>
      <c r="I24" s="16" t="str">
        <f aca="false">IF(G24="","",IF(SIGN(F24)=SIGN(H24),"적중","실패"))</f>
        <v/>
      </c>
      <c r="J24" s="15" t="str">
        <f aca="false">IF(G24="","",ABS(H24-F24))</f>
        <v/>
      </c>
      <c r="K24" s="14"/>
      <c r="L24" s="15" t="str">
        <f aca="false">IF(OR(K24="",D24=""),"",(K24-D24)/D24)</f>
        <v/>
      </c>
      <c r="M24" s="14"/>
      <c r="N24" s="15" t="str">
        <f aca="false">IF(OR(M24="",D24=""),"",(M24-D24)/D24)</f>
        <v/>
      </c>
      <c r="O24" s="16" t="str">
        <f aca="false">IF(M24="","",IF(SIGN(L24)=SIGN(N24),"적중","실패"))</f>
        <v/>
      </c>
      <c r="P24" s="15" t="str">
        <f aca="false">IF(M24="","",ABS(N24-L24))</f>
        <v/>
      </c>
      <c r="Q24" s="13"/>
    </row>
    <row r="25" customFormat="false" ht="15" hidden="false" customHeight="false" outlineLevel="0" collapsed="false">
      <c r="A25" s="13"/>
      <c r="B25" s="13"/>
      <c r="C25" s="13"/>
      <c r="D25" s="14"/>
      <c r="E25" s="14"/>
      <c r="F25" s="15" t="str">
        <f aca="false">IF(OR(E25="",D25=""),"",(E25-D25)/D25)</f>
        <v/>
      </c>
      <c r="G25" s="14"/>
      <c r="H25" s="15" t="str">
        <f aca="false">IF(OR(G25="",D25=""),"",(G25-D25)/D25)</f>
        <v/>
      </c>
      <c r="I25" s="16" t="str">
        <f aca="false">IF(G25="","",IF(SIGN(F25)=SIGN(H25),"적중","실패"))</f>
        <v/>
      </c>
      <c r="J25" s="15" t="str">
        <f aca="false">IF(G25="","",ABS(H25-F25))</f>
        <v/>
      </c>
      <c r="K25" s="14"/>
      <c r="L25" s="15" t="str">
        <f aca="false">IF(OR(K25="",D25=""),"",(K25-D25)/D25)</f>
        <v/>
      </c>
      <c r="M25" s="14"/>
      <c r="N25" s="15" t="str">
        <f aca="false">IF(OR(M25="",D25=""),"",(M25-D25)/D25)</f>
        <v/>
      </c>
      <c r="O25" s="16" t="str">
        <f aca="false">IF(M25="","",IF(SIGN(L25)=SIGN(N25),"적중","실패"))</f>
        <v/>
      </c>
      <c r="P25" s="15" t="str">
        <f aca="false">IF(M25="","",ABS(N25-L25))</f>
        <v/>
      </c>
      <c r="Q25" s="13"/>
    </row>
    <row r="26" customFormat="false" ht="15" hidden="false" customHeight="false" outlineLevel="0" collapsed="false">
      <c r="A26" s="13"/>
      <c r="B26" s="13"/>
      <c r="C26" s="13"/>
      <c r="D26" s="14"/>
      <c r="E26" s="14"/>
      <c r="F26" s="15" t="str">
        <f aca="false">IF(OR(E26="",D26=""),"",(E26-D26)/D26)</f>
        <v/>
      </c>
      <c r="G26" s="14"/>
      <c r="H26" s="15" t="str">
        <f aca="false">IF(OR(G26="",D26=""),"",(G26-D26)/D26)</f>
        <v/>
      </c>
      <c r="I26" s="16" t="str">
        <f aca="false">IF(G26="","",IF(SIGN(F26)=SIGN(H26),"적중","실패"))</f>
        <v/>
      </c>
      <c r="J26" s="15" t="str">
        <f aca="false">IF(G26="","",ABS(H26-F26))</f>
        <v/>
      </c>
      <c r="K26" s="14"/>
      <c r="L26" s="15" t="str">
        <f aca="false">IF(OR(K26="",D26=""),"",(K26-D26)/D26)</f>
        <v/>
      </c>
      <c r="M26" s="14"/>
      <c r="N26" s="15" t="str">
        <f aca="false">IF(OR(M26="",D26=""),"",(M26-D26)/D26)</f>
        <v/>
      </c>
      <c r="O26" s="16" t="str">
        <f aca="false">IF(M26="","",IF(SIGN(L26)=SIGN(N26),"적중","실패"))</f>
        <v/>
      </c>
      <c r="P26" s="15" t="str">
        <f aca="false">IF(M26="","",ABS(N26-L26))</f>
        <v/>
      </c>
      <c r="Q26" s="13"/>
    </row>
    <row r="27" customFormat="false" ht="15" hidden="false" customHeight="false" outlineLevel="0" collapsed="false">
      <c r="A27" s="13"/>
      <c r="B27" s="13"/>
      <c r="C27" s="13"/>
      <c r="D27" s="14"/>
      <c r="E27" s="14"/>
      <c r="F27" s="15" t="str">
        <f aca="false">IF(OR(E27="",D27=""),"",(E27-D27)/D27)</f>
        <v/>
      </c>
      <c r="G27" s="14"/>
      <c r="H27" s="15" t="str">
        <f aca="false">IF(OR(G27="",D27=""),"",(G27-D27)/D27)</f>
        <v/>
      </c>
      <c r="I27" s="16" t="str">
        <f aca="false">IF(G27="","",IF(SIGN(F27)=SIGN(H27),"적중","실패"))</f>
        <v/>
      </c>
      <c r="J27" s="15" t="str">
        <f aca="false">IF(G27="","",ABS(H27-F27))</f>
        <v/>
      </c>
      <c r="K27" s="14"/>
      <c r="L27" s="15" t="str">
        <f aca="false">IF(OR(K27="",D27=""),"",(K27-D27)/D27)</f>
        <v/>
      </c>
      <c r="M27" s="14"/>
      <c r="N27" s="15" t="str">
        <f aca="false">IF(OR(M27="",D27=""),"",(M27-D27)/D27)</f>
        <v/>
      </c>
      <c r="O27" s="16" t="str">
        <f aca="false">IF(M27="","",IF(SIGN(L27)=SIGN(N27),"적중","실패"))</f>
        <v/>
      </c>
      <c r="P27" s="15" t="str">
        <f aca="false">IF(M27="","",ABS(N27-L27))</f>
        <v/>
      </c>
      <c r="Q27" s="13"/>
    </row>
    <row r="28" customFormat="false" ht="15" hidden="false" customHeight="false" outlineLevel="0" collapsed="false">
      <c r="A28" s="13"/>
      <c r="B28" s="13"/>
      <c r="C28" s="13"/>
      <c r="D28" s="14"/>
      <c r="E28" s="14"/>
      <c r="F28" s="15" t="str">
        <f aca="false">IF(OR(E28="",D28=""),"",(E28-D28)/D28)</f>
        <v/>
      </c>
      <c r="G28" s="14"/>
      <c r="H28" s="15" t="str">
        <f aca="false">IF(OR(G28="",D28=""),"",(G28-D28)/D28)</f>
        <v/>
      </c>
      <c r="I28" s="16" t="str">
        <f aca="false">IF(G28="","",IF(SIGN(F28)=SIGN(H28),"적중","실패"))</f>
        <v/>
      </c>
      <c r="J28" s="15" t="str">
        <f aca="false">IF(G28="","",ABS(H28-F28))</f>
        <v/>
      </c>
      <c r="K28" s="14"/>
      <c r="L28" s="15" t="str">
        <f aca="false">IF(OR(K28="",D28=""),"",(K28-D28)/D28)</f>
        <v/>
      </c>
      <c r="M28" s="14"/>
      <c r="N28" s="15" t="str">
        <f aca="false">IF(OR(M28="",D28=""),"",(M28-D28)/D28)</f>
        <v/>
      </c>
      <c r="O28" s="16" t="str">
        <f aca="false">IF(M28="","",IF(SIGN(L28)=SIGN(N28),"적중","실패"))</f>
        <v/>
      </c>
      <c r="P28" s="15" t="str">
        <f aca="false">IF(M28="","",ABS(N28-L28))</f>
        <v/>
      </c>
      <c r="Q28" s="13"/>
    </row>
    <row r="29" customFormat="false" ht="15" hidden="false" customHeight="false" outlineLevel="0" collapsed="false">
      <c r="A29" s="13"/>
      <c r="B29" s="13"/>
      <c r="C29" s="13"/>
      <c r="D29" s="14"/>
      <c r="E29" s="14"/>
      <c r="F29" s="15" t="str">
        <f aca="false">IF(OR(E29="",D29=""),"",(E29-D29)/D29)</f>
        <v/>
      </c>
      <c r="G29" s="14"/>
      <c r="H29" s="15" t="str">
        <f aca="false">IF(OR(G29="",D29=""),"",(G29-D29)/D29)</f>
        <v/>
      </c>
      <c r="I29" s="16" t="str">
        <f aca="false">IF(G29="","",IF(SIGN(F29)=SIGN(H29),"적중","실패"))</f>
        <v/>
      </c>
      <c r="J29" s="15" t="str">
        <f aca="false">IF(G29="","",ABS(H29-F29))</f>
        <v/>
      </c>
      <c r="K29" s="14"/>
      <c r="L29" s="15" t="str">
        <f aca="false">IF(OR(K29="",D29=""),"",(K29-D29)/D29)</f>
        <v/>
      </c>
      <c r="M29" s="14"/>
      <c r="N29" s="15" t="str">
        <f aca="false">IF(OR(M29="",D29=""),"",(M29-D29)/D29)</f>
        <v/>
      </c>
      <c r="O29" s="16" t="str">
        <f aca="false">IF(M29="","",IF(SIGN(L29)=SIGN(N29),"적중","실패"))</f>
        <v/>
      </c>
      <c r="P29" s="15" t="str">
        <f aca="false">IF(M29="","",ABS(N29-L29))</f>
        <v/>
      </c>
      <c r="Q29" s="13"/>
    </row>
    <row r="30" customFormat="false" ht="15" hidden="false" customHeight="false" outlineLevel="0" collapsed="false">
      <c r="A30" s="13"/>
      <c r="B30" s="13"/>
      <c r="C30" s="13"/>
      <c r="D30" s="14"/>
      <c r="E30" s="14"/>
      <c r="F30" s="15" t="str">
        <f aca="false">IF(OR(E30="",D30=""),"",(E30-D30)/D30)</f>
        <v/>
      </c>
      <c r="G30" s="14"/>
      <c r="H30" s="15" t="str">
        <f aca="false">IF(OR(G30="",D30=""),"",(G30-D30)/D30)</f>
        <v/>
      </c>
      <c r="I30" s="16" t="str">
        <f aca="false">IF(G30="","",IF(SIGN(F30)=SIGN(H30),"적중","실패"))</f>
        <v/>
      </c>
      <c r="J30" s="15" t="str">
        <f aca="false">IF(G30="","",ABS(H30-F30))</f>
        <v/>
      </c>
      <c r="K30" s="14"/>
      <c r="L30" s="15" t="str">
        <f aca="false">IF(OR(K30="",D30=""),"",(K30-D30)/D30)</f>
        <v/>
      </c>
      <c r="M30" s="14"/>
      <c r="N30" s="15" t="str">
        <f aca="false">IF(OR(M30="",D30=""),"",(M30-D30)/D30)</f>
        <v/>
      </c>
      <c r="O30" s="16" t="str">
        <f aca="false">IF(M30="","",IF(SIGN(L30)=SIGN(N30),"적중","실패"))</f>
        <v/>
      </c>
      <c r="P30" s="15" t="str">
        <f aca="false">IF(M30="","",ABS(N30-L30))</f>
        <v/>
      </c>
      <c r="Q30" s="13"/>
    </row>
    <row r="31" customFormat="false" ht="15" hidden="false" customHeight="false" outlineLevel="0" collapsed="false">
      <c r="A31" s="13"/>
      <c r="B31" s="13"/>
      <c r="C31" s="13"/>
      <c r="D31" s="14"/>
      <c r="E31" s="14"/>
      <c r="F31" s="15" t="str">
        <f aca="false">IF(OR(E31="",D31=""),"",(E31-D31)/D31)</f>
        <v/>
      </c>
      <c r="G31" s="14"/>
      <c r="H31" s="15" t="str">
        <f aca="false">IF(OR(G31="",D31=""),"",(G31-D31)/D31)</f>
        <v/>
      </c>
      <c r="I31" s="16" t="str">
        <f aca="false">IF(G31="","",IF(SIGN(F31)=SIGN(H31),"적중","실패"))</f>
        <v/>
      </c>
      <c r="J31" s="15" t="str">
        <f aca="false">IF(G31="","",ABS(H31-F31))</f>
        <v/>
      </c>
      <c r="K31" s="14"/>
      <c r="L31" s="15" t="str">
        <f aca="false">IF(OR(K31="",D31=""),"",(K31-D31)/D31)</f>
        <v/>
      </c>
      <c r="M31" s="14"/>
      <c r="N31" s="15" t="str">
        <f aca="false">IF(OR(M31="",D31=""),"",(M31-D31)/D31)</f>
        <v/>
      </c>
      <c r="O31" s="16" t="str">
        <f aca="false">IF(M31="","",IF(SIGN(L31)=SIGN(N31),"적중","실패"))</f>
        <v/>
      </c>
      <c r="P31" s="15" t="str">
        <f aca="false">IF(M31="","",ABS(N31-L31))</f>
        <v/>
      </c>
      <c r="Q31" s="13"/>
    </row>
    <row r="32" customFormat="false" ht="15" hidden="false" customHeight="false" outlineLevel="0" collapsed="false">
      <c r="A32" s="13"/>
      <c r="B32" s="13"/>
      <c r="C32" s="13"/>
      <c r="D32" s="14"/>
      <c r="E32" s="14"/>
      <c r="F32" s="15" t="str">
        <f aca="false">IF(OR(E32="",D32=""),"",(E32-D32)/D32)</f>
        <v/>
      </c>
      <c r="G32" s="14"/>
      <c r="H32" s="15" t="str">
        <f aca="false">IF(OR(G32="",D32=""),"",(G32-D32)/D32)</f>
        <v/>
      </c>
      <c r="I32" s="16" t="str">
        <f aca="false">IF(G32="","",IF(SIGN(F32)=SIGN(H32),"적중","실패"))</f>
        <v/>
      </c>
      <c r="J32" s="15" t="str">
        <f aca="false">IF(G32="","",ABS(H32-F32))</f>
        <v/>
      </c>
      <c r="K32" s="14"/>
      <c r="L32" s="15" t="str">
        <f aca="false">IF(OR(K32="",D32=""),"",(K32-D32)/D32)</f>
        <v/>
      </c>
      <c r="M32" s="14"/>
      <c r="N32" s="15" t="str">
        <f aca="false">IF(OR(M32="",D32=""),"",(M32-D32)/D32)</f>
        <v/>
      </c>
      <c r="O32" s="16" t="str">
        <f aca="false">IF(M32="","",IF(SIGN(L32)=SIGN(N32),"적중","실패"))</f>
        <v/>
      </c>
      <c r="P32" s="15" t="str">
        <f aca="false">IF(M32="","",ABS(N32-L32))</f>
        <v/>
      </c>
      <c r="Q32" s="13"/>
    </row>
    <row r="33" customFormat="false" ht="15" hidden="false" customHeight="false" outlineLevel="0" collapsed="false">
      <c r="A33" s="13"/>
      <c r="B33" s="13"/>
      <c r="C33" s="13"/>
      <c r="D33" s="14"/>
      <c r="E33" s="14"/>
      <c r="F33" s="15" t="str">
        <f aca="false">IF(OR(E33="",D33=""),"",(E33-D33)/D33)</f>
        <v/>
      </c>
      <c r="G33" s="14"/>
      <c r="H33" s="15" t="str">
        <f aca="false">IF(OR(G33="",D33=""),"",(G33-D33)/D33)</f>
        <v/>
      </c>
      <c r="I33" s="16" t="str">
        <f aca="false">IF(G33="","",IF(SIGN(F33)=SIGN(H33),"적중","실패"))</f>
        <v/>
      </c>
      <c r="J33" s="15" t="str">
        <f aca="false">IF(G33="","",ABS(H33-F33))</f>
        <v/>
      </c>
      <c r="K33" s="14"/>
      <c r="L33" s="15" t="str">
        <f aca="false">IF(OR(K33="",D33=""),"",(K33-D33)/D33)</f>
        <v/>
      </c>
      <c r="M33" s="14"/>
      <c r="N33" s="15" t="str">
        <f aca="false">IF(OR(M33="",D33=""),"",(M33-D33)/D33)</f>
        <v/>
      </c>
      <c r="O33" s="16" t="str">
        <f aca="false">IF(M33="","",IF(SIGN(L33)=SIGN(N33),"적중","실패"))</f>
        <v/>
      </c>
      <c r="P33" s="15" t="str">
        <f aca="false">IF(M33="","",ABS(N33-L33))</f>
        <v/>
      </c>
      <c r="Q33" s="13"/>
    </row>
    <row r="34" customFormat="false" ht="15" hidden="false" customHeight="false" outlineLevel="0" collapsed="false">
      <c r="A34" s="13"/>
      <c r="B34" s="13"/>
      <c r="C34" s="13"/>
      <c r="D34" s="14"/>
      <c r="E34" s="14"/>
      <c r="F34" s="15" t="str">
        <f aca="false">IF(OR(E34="",D34=""),"",(E34-D34)/D34)</f>
        <v/>
      </c>
      <c r="G34" s="14"/>
      <c r="H34" s="15" t="str">
        <f aca="false">IF(OR(G34="",D34=""),"",(G34-D34)/D34)</f>
        <v/>
      </c>
      <c r="I34" s="16" t="str">
        <f aca="false">IF(G34="","",IF(SIGN(F34)=SIGN(H34),"적중","실패"))</f>
        <v/>
      </c>
      <c r="J34" s="15" t="str">
        <f aca="false">IF(G34="","",ABS(H34-F34))</f>
        <v/>
      </c>
      <c r="K34" s="14"/>
      <c r="L34" s="15" t="str">
        <f aca="false">IF(OR(K34="",D34=""),"",(K34-D34)/D34)</f>
        <v/>
      </c>
      <c r="M34" s="14"/>
      <c r="N34" s="15" t="str">
        <f aca="false">IF(OR(M34="",D34=""),"",(M34-D34)/D34)</f>
        <v/>
      </c>
      <c r="O34" s="16" t="str">
        <f aca="false">IF(M34="","",IF(SIGN(L34)=SIGN(N34),"적중","실패"))</f>
        <v/>
      </c>
      <c r="P34" s="15" t="str">
        <f aca="false">IF(M34="","",ABS(N34-L34))</f>
        <v/>
      </c>
      <c r="Q34" s="13"/>
    </row>
    <row r="35" customFormat="false" ht="15" hidden="false" customHeight="false" outlineLevel="0" collapsed="false">
      <c r="A35" s="13"/>
      <c r="B35" s="13"/>
      <c r="C35" s="13"/>
      <c r="D35" s="14"/>
      <c r="E35" s="14"/>
      <c r="F35" s="15" t="str">
        <f aca="false">IF(OR(E35="",D35=""),"",(E35-D35)/D35)</f>
        <v/>
      </c>
      <c r="G35" s="14"/>
      <c r="H35" s="15" t="str">
        <f aca="false">IF(OR(G35="",D35=""),"",(G35-D35)/D35)</f>
        <v/>
      </c>
      <c r="I35" s="16" t="str">
        <f aca="false">IF(G35="","",IF(SIGN(F35)=SIGN(H35),"적중","실패"))</f>
        <v/>
      </c>
      <c r="J35" s="15" t="str">
        <f aca="false">IF(G35="","",ABS(H35-F35))</f>
        <v/>
      </c>
      <c r="K35" s="14"/>
      <c r="L35" s="15" t="str">
        <f aca="false">IF(OR(K35="",D35=""),"",(K35-D35)/D35)</f>
        <v/>
      </c>
      <c r="M35" s="14"/>
      <c r="N35" s="15" t="str">
        <f aca="false">IF(OR(M35="",D35=""),"",(M35-D35)/D35)</f>
        <v/>
      </c>
      <c r="O35" s="16" t="str">
        <f aca="false">IF(M35="","",IF(SIGN(L35)=SIGN(N35),"적중","실패"))</f>
        <v/>
      </c>
      <c r="P35" s="15" t="str">
        <f aca="false">IF(M35="","",ABS(N35-L35))</f>
        <v/>
      </c>
      <c r="Q35" s="13"/>
    </row>
    <row r="36" customFormat="false" ht="15" hidden="false" customHeight="false" outlineLevel="0" collapsed="false">
      <c r="A36" s="13"/>
      <c r="B36" s="13"/>
      <c r="C36" s="13"/>
      <c r="D36" s="14"/>
      <c r="E36" s="14"/>
      <c r="F36" s="15" t="str">
        <f aca="false">IF(OR(E36="",D36=""),"",(E36-D36)/D36)</f>
        <v/>
      </c>
      <c r="G36" s="14"/>
      <c r="H36" s="15" t="str">
        <f aca="false">IF(OR(G36="",D36=""),"",(G36-D36)/D36)</f>
        <v/>
      </c>
      <c r="I36" s="16" t="str">
        <f aca="false">IF(G36="","",IF(SIGN(F36)=SIGN(H36),"적중","실패"))</f>
        <v/>
      </c>
      <c r="J36" s="15" t="str">
        <f aca="false">IF(G36="","",ABS(H36-F36))</f>
        <v/>
      </c>
      <c r="K36" s="14"/>
      <c r="L36" s="15" t="str">
        <f aca="false">IF(OR(K36="",D36=""),"",(K36-D36)/D36)</f>
        <v/>
      </c>
      <c r="M36" s="14"/>
      <c r="N36" s="15" t="str">
        <f aca="false">IF(OR(M36="",D36=""),"",(M36-D36)/D36)</f>
        <v/>
      </c>
      <c r="O36" s="16" t="str">
        <f aca="false">IF(M36="","",IF(SIGN(L36)=SIGN(N36),"적중","실패"))</f>
        <v/>
      </c>
      <c r="P36" s="15" t="str">
        <f aca="false">IF(M36="","",ABS(N36-L36))</f>
        <v/>
      </c>
      <c r="Q36" s="13"/>
    </row>
    <row r="37" customFormat="false" ht="15" hidden="false" customHeight="false" outlineLevel="0" collapsed="false">
      <c r="A37" s="13"/>
      <c r="B37" s="13"/>
      <c r="C37" s="13"/>
      <c r="D37" s="14"/>
      <c r="E37" s="14"/>
      <c r="F37" s="15" t="str">
        <f aca="false">IF(OR(E37="",D37=""),"",(E37-D37)/D37)</f>
        <v/>
      </c>
      <c r="G37" s="14"/>
      <c r="H37" s="15" t="str">
        <f aca="false">IF(OR(G37="",D37=""),"",(G37-D37)/D37)</f>
        <v/>
      </c>
      <c r="I37" s="16" t="str">
        <f aca="false">IF(G37="","",IF(SIGN(F37)=SIGN(H37),"적중","실패"))</f>
        <v/>
      </c>
      <c r="J37" s="15" t="str">
        <f aca="false">IF(G37="","",ABS(H37-F37))</f>
        <v/>
      </c>
      <c r="K37" s="14"/>
      <c r="L37" s="15" t="str">
        <f aca="false">IF(OR(K37="",D37=""),"",(K37-D37)/D37)</f>
        <v/>
      </c>
      <c r="M37" s="14"/>
      <c r="N37" s="15" t="str">
        <f aca="false">IF(OR(M37="",D37=""),"",(M37-D37)/D37)</f>
        <v/>
      </c>
      <c r="O37" s="16" t="str">
        <f aca="false">IF(M37="","",IF(SIGN(L37)=SIGN(N37),"적중","실패"))</f>
        <v/>
      </c>
      <c r="P37" s="15" t="str">
        <f aca="false">IF(M37="","",ABS(N37-L37))</f>
        <v/>
      </c>
      <c r="Q37" s="13"/>
    </row>
    <row r="38" customFormat="false" ht="15" hidden="false" customHeight="false" outlineLevel="0" collapsed="false">
      <c r="A38" s="13"/>
      <c r="B38" s="13"/>
      <c r="C38" s="13"/>
      <c r="D38" s="14"/>
      <c r="E38" s="14"/>
      <c r="F38" s="15" t="str">
        <f aca="false">IF(OR(E38="",D38=""),"",(E38-D38)/D38)</f>
        <v/>
      </c>
      <c r="G38" s="14"/>
      <c r="H38" s="15" t="str">
        <f aca="false">IF(OR(G38="",D38=""),"",(G38-D38)/D38)</f>
        <v/>
      </c>
      <c r="I38" s="16" t="str">
        <f aca="false">IF(G38="","",IF(SIGN(F38)=SIGN(H38),"적중","실패"))</f>
        <v/>
      </c>
      <c r="J38" s="15" t="str">
        <f aca="false">IF(G38="","",ABS(H38-F38))</f>
        <v/>
      </c>
      <c r="K38" s="14"/>
      <c r="L38" s="15" t="str">
        <f aca="false">IF(OR(K38="",D38=""),"",(K38-D38)/D38)</f>
        <v/>
      </c>
      <c r="M38" s="14"/>
      <c r="N38" s="15" t="str">
        <f aca="false">IF(OR(M38="",D38=""),"",(M38-D38)/D38)</f>
        <v/>
      </c>
      <c r="O38" s="16" t="str">
        <f aca="false">IF(M38="","",IF(SIGN(L38)=SIGN(N38),"적중","실패"))</f>
        <v/>
      </c>
      <c r="P38" s="15" t="str">
        <f aca="false">IF(M38="","",ABS(N38-L38))</f>
        <v/>
      </c>
      <c r="Q38" s="13"/>
    </row>
    <row r="39" customFormat="false" ht="15" hidden="false" customHeight="false" outlineLevel="0" collapsed="false">
      <c r="A39" s="13"/>
      <c r="B39" s="13"/>
      <c r="C39" s="13"/>
      <c r="D39" s="14"/>
      <c r="E39" s="14"/>
      <c r="F39" s="15" t="str">
        <f aca="false">IF(OR(E39="",D39=""),"",(E39-D39)/D39)</f>
        <v/>
      </c>
      <c r="G39" s="14"/>
      <c r="H39" s="15" t="str">
        <f aca="false">IF(OR(G39="",D39=""),"",(G39-D39)/D39)</f>
        <v/>
      </c>
      <c r="I39" s="16" t="str">
        <f aca="false">IF(G39="","",IF(SIGN(F39)=SIGN(H39),"적중","실패"))</f>
        <v/>
      </c>
      <c r="J39" s="15" t="str">
        <f aca="false">IF(G39="","",ABS(H39-F39))</f>
        <v/>
      </c>
      <c r="K39" s="14"/>
      <c r="L39" s="15" t="str">
        <f aca="false">IF(OR(K39="",D39=""),"",(K39-D39)/D39)</f>
        <v/>
      </c>
      <c r="M39" s="14"/>
      <c r="N39" s="15" t="str">
        <f aca="false">IF(OR(M39="",D39=""),"",(M39-D39)/D39)</f>
        <v/>
      </c>
      <c r="O39" s="16" t="str">
        <f aca="false">IF(M39="","",IF(SIGN(L39)=SIGN(N39),"적중","실패"))</f>
        <v/>
      </c>
      <c r="P39" s="15" t="str">
        <f aca="false">IF(M39="","",ABS(N39-L39))</f>
        <v/>
      </c>
      <c r="Q39" s="13"/>
    </row>
    <row r="40" customFormat="false" ht="15" hidden="false" customHeight="false" outlineLevel="0" collapsed="false">
      <c r="A40" s="13"/>
      <c r="B40" s="13"/>
      <c r="C40" s="13"/>
      <c r="D40" s="14"/>
      <c r="E40" s="14"/>
      <c r="F40" s="15" t="str">
        <f aca="false">IF(OR(E40="",D40=""),"",(E40-D40)/D40)</f>
        <v/>
      </c>
      <c r="G40" s="14"/>
      <c r="H40" s="15" t="str">
        <f aca="false">IF(OR(G40="",D40=""),"",(G40-D40)/D40)</f>
        <v/>
      </c>
      <c r="I40" s="16" t="str">
        <f aca="false">IF(G40="","",IF(SIGN(F40)=SIGN(H40),"적중","실패"))</f>
        <v/>
      </c>
      <c r="J40" s="15" t="str">
        <f aca="false">IF(G40="","",ABS(H40-F40))</f>
        <v/>
      </c>
      <c r="K40" s="14"/>
      <c r="L40" s="15" t="str">
        <f aca="false">IF(OR(K40="",D40=""),"",(K40-D40)/D40)</f>
        <v/>
      </c>
      <c r="M40" s="14"/>
      <c r="N40" s="15" t="str">
        <f aca="false">IF(OR(M40="",D40=""),"",(M40-D40)/D40)</f>
        <v/>
      </c>
      <c r="O40" s="16" t="str">
        <f aca="false">IF(M40="","",IF(SIGN(L40)=SIGN(N40),"적중","실패"))</f>
        <v/>
      </c>
      <c r="P40" s="15" t="str">
        <f aca="false">IF(M40="","",ABS(N40-L40))</f>
        <v/>
      </c>
      <c r="Q40" s="13"/>
    </row>
    <row r="41" customFormat="false" ht="15" hidden="false" customHeight="false" outlineLevel="0" collapsed="false">
      <c r="A41" s="13"/>
      <c r="B41" s="13"/>
      <c r="C41" s="13"/>
      <c r="D41" s="14"/>
      <c r="E41" s="14"/>
      <c r="F41" s="15" t="str">
        <f aca="false">IF(OR(E41="",D41=""),"",(E41-D41)/D41)</f>
        <v/>
      </c>
      <c r="G41" s="14"/>
      <c r="H41" s="15" t="str">
        <f aca="false">IF(OR(G41="",D41=""),"",(G41-D41)/D41)</f>
        <v/>
      </c>
      <c r="I41" s="16" t="str">
        <f aca="false">IF(G41="","",IF(SIGN(F41)=SIGN(H41),"적중","실패"))</f>
        <v/>
      </c>
      <c r="J41" s="15" t="str">
        <f aca="false">IF(G41="","",ABS(H41-F41))</f>
        <v/>
      </c>
      <c r="K41" s="14"/>
      <c r="L41" s="15" t="str">
        <f aca="false">IF(OR(K41="",D41=""),"",(K41-D41)/D41)</f>
        <v/>
      </c>
      <c r="M41" s="14"/>
      <c r="N41" s="15" t="str">
        <f aca="false">IF(OR(M41="",D41=""),"",(M41-D41)/D41)</f>
        <v/>
      </c>
      <c r="O41" s="16" t="str">
        <f aca="false">IF(M41="","",IF(SIGN(L41)=SIGN(N41),"적중","실패"))</f>
        <v/>
      </c>
      <c r="P41" s="15" t="str">
        <f aca="false">IF(M41="","",ABS(N41-L41))</f>
        <v/>
      </c>
      <c r="Q41" s="13"/>
    </row>
    <row r="42" customFormat="false" ht="15" hidden="false" customHeight="false" outlineLevel="0" collapsed="false">
      <c r="A42" s="13"/>
      <c r="B42" s="13"/>
      <c r="C42" s="13"/>
      <c r="D42" s="14"/>
      <c r="E42" s="14"/>
      <c r="F42" s="15" t="str">
        <f aca="false">IF(OR(E42="",D42=""),"",(E42-D42)/D42)</f>
        <v/>
      </c>
      <c r="G42" s="14"/>
      <c r="H42" s="15" t="str">
        <f aca="false">IF(OR(G42="",D42=""),"",(G42-D42)/D42)</f>
        <v/>
      </c>
      <c r="I42" s="16" t="str">
        <f aca="false">IF(G42="","",IF(SIGN(F42)=SIGN(H42),"적중","실패"))</f>
        <v/>
      </c>
      <c r="J42" s="15" t="str">
        <f aca="false">IF(G42="","",ABS(H42-F42))</f>
        <v/>
      </c>
      <c r="K42" s="14"/>
      <c r="L42" s="15" t="str">
        <f aca="false">IF(OR(K42="",D42=""),"",(K42-D42)/D42)</f>
        <v/>
      </c>
      <c r="M42" s="14"/>
      <c r="N42" s="15" t="str">
        <f aca="false">IF(OR(M42="",D42=""),"",(M42-D42)/D42)</f>
        <v/>
      </c>
      <c r="O42" s="16" t="str">
        <f aca="false">IF(M42="","",IF(SIGN(L42)=SIGN(N42),"적중","실패"))</f>
        <v/>
      </c>
      <c r="P42" s="15" t="str">
        <f aca="false">IF(M42="","",ABS(N42-L42))</f>
        <v/>
      </c>
      <c r="Q42" s="13"/>
    </row>
    <row r="43" customFormat="false" ht="15" hidden="false" customHeight="false" outlineLevel="0" collapsed="false">
      <c r="A43" s="13"/>
      <c r="B43" s="13"/>
      <c r="C43" s="13"/>
      <c r="D43" s="14"/>
      <c r="E43" s="14"/>
      <c r="F43" s="15" t="str">
        <f aca="false">IF(OR(E43="",D43=""),"",(E43-D43)/D43)</f>
        <v/>
      </c>
      <c r="G43" s="14"/>
      <c r="H43" s="15" t="str">
        <f aca="false">IF(OR(G43="",D43=""),"",(G43-D43)/D43)</f>
        <v/>
      </c>
      <c r="I43" s="16" t="str">
        <f aca="false">IF(G43="","",IF(SIGN(F43)=SIGN(H43),"적중","실패"))</f>
        <v/>
      </c>
      <c r="J43" s="15" t="str">
        <f aca="false">IF(G43="","",ABS(H43-F43))</f>
        <v/>
      </c>
      <c r="K43" s="14"/>
      <c r="L43" s="15" t="str">
        <f aca="false">IF(OR(K43="",D43=""),"",(K43-D43)/D43)</f>
        <v/>
      </c>
      <c r="M43" s="14"/>
      <c r="N43" s="15" t="str">
        <f aca="false">IF(OR(M43="",D43=""),"",(M43-D43)/D43)</f>
        <v/>
      </c>
      <c r="O43" s="16" t="str">
        <f aca="false">IF(M43="","",IF(SIGN(L43)=SIGN(N43),"적중","실패"))</f>
        <v/>
      </c>
      <c r="P43" s="15" t="str">
        <f aca="false">IF(M43="","",ABS(N43-L43))</f>
        <v/>
      </c>
      <c r="Q43" s="13"/>
    </row>
    <row r="44" customFormat="false" ht="15" hidden="false" customHeight="false" outlineLevel="0" collapsed="false">
      <c r="A44" s="13"/>
      <c r="B44" s="13"/>
      <c r="C44" s="13"/>
      <c r="D44" s="14"/>
      <c r="E44" s="14"/>
      <c r="F44" s="15" t="str">
        <f aca="false">IF(OR(E44="",D44=""),"",(E44-D44)/D44)</f>
        <v/>
      </c>
      <c r="G44" s="14"/>
      <c r="H44" s="15" t="str">
        <f aca="false">IF(OR(G44="",D44=""),"",(G44-D44)/D44)</f>
        <v/>
      </c>
      <c r="I44" s="16" t="str">
        <f aca="false">IF(G44="","",IF(SIGN(F44)=SIGN(H44),"적중","실패"))</f>
        <v/>
      </c>
      <c r="J44" s="15" t="str">
        <f aca="false">IF(G44="","",ABS(H44-F44))</f>
        <v/>
      </c>
      <c r="K44" s="14"/>
      <c r="L44" s="15" t="str">
        <f aca="false">IF(OR(K44="",D44=""),"",(K44-D44)/D44)</f>
        <v/>
      </c>
      <c r="M44" s="14"/>
      <c r="N44" s="15" t="str">
        <f aca="false">IF(OR(M44="",D44=""),"",(M44-D44)/D44)</f>
        <v/>
      </c>
      <c r="O44" s="16" t="str">
        <f aca="false">IF(M44="","",IF(SIGN(L44)=SIGN(N44),"적중","실패"))</f>
        <v/>
      </c>
      <c r="P44" s="15" t="str">
        <f aca="false">IF(M44="","",ABS(N44-L44))</f>
        <v/>
      </c>
      <c r="Q44" s="13"/>
    </row>
    <row r="45" customFormat="false" ht="15" hidden="false" customHeight="false" outlineLevel="0" collapsed="false">
      <c r="A45" s="13"/>
      <c r="B45" s="13"/>
      <c r="C45" s="13"/>
      <c r="D45" s="14"/>
      <c r="E45" s="14"/>
      <c r="F45" s="15" t="str">
        <f aca="false">IF(OR(E45="",D45=""),"",(E45-D45)/D45)</f>
        <v/>
      </c>
      <c r="G45" s="14"/>
      <c r="H45" s="15" t="str">
        <f aca="false">IF(OR(G45="",D45=""),"",(G45-D45)/D45)</f>
        <v/>
      </c>
      <c r="I45" s="16" t="str">
        <f aca="false">IF(G45="","",IF(SIGN(F45)=SIGN(H45),"적중","실패"))</f>
        <v/>
      </c>
      <c r="J45" s="15" t="str">
        <f aca="false">IF(G45="","",ABS(H45-F45))</f>
        <v/>
      </c>
      <c r="K45" s="14"/>
      <c r="L45" s="15" t="str">
        <f aca="false">IF(OR(K45="",D45=""),"",(K45-D45)/D45)</f>
        <v/>
      </c>
      <c r="M45" s="14"/>
      <c r="N45" s="15" t="str">
        <f aca="false">IF(OR(M45="",D45=""),"",(M45-D45)/D45)</f>
        <v/>
      </c>
      <c r="O45" s="16" t="str">
        <f aca="false">IF(M45="","",IF(SIGN(L45)=SIGN(N45),"적중","실패"))</f>
        <v/>
      </c>
      <c r="P45" s="15" t="str">
        <f aca="false">IF(M45="","",ABS(N45-L45))</f>
        <v/>
      </c>
      <c r="Q45" s="13"/>
    </row>
    <row r="46" customFormat="false" ht="15" hidden="false" customHeight="false" outlineLevel="0" collapsed="false">
      <c r="A46" s="13"/>
      <c r="B46" s="13"/>
      <c r="C46" s="13"/>
      <c r="D46" s="14"/>
      <c r="E46" s="14"/>
      <c r="F46" s="15" t="str">
        <f aca="false">IF(OR(E46="",D46=""),"",(E46-D46)/D46)</f>
        <v/>
      </c>
      <c r="G46" s="14"/>
      <c r="H46" s="15" t="str">
        <f aca="false">IF(OR(G46="",D46=""),"",(G46-D46)/D46)</f>
        <v/>
      </c>
      <c r="I46" s="16" t="str">
        <f aca="false">IF(G46="","",IF(SIGN(F46)=SIGN(H46),"적중","실패"))</f>
        <v/>
      </c>
      <c r="J46" s="15" t="str">
        <f aca="false">IF(G46="","",ABS(H46-F46))</f>
        <v/>
      </c>
      <c r="K46" s="14"/>
      <c r="L46" s="15" t="str">
        <f aca="false">IF(OR(K46="",D46=""),"",(K46-D46)/D46)</f>
        <v/>
      </c>
      <c r="M46" s="14"/>
      <c r="N46" s="15" t="str">
        <f aca="false">IF(OR(M46="",D46=""),"",(M46-D46)/D46)</f>
        <v/>
      </c>
      <c r="O46" s="16" t="str">
        <f aca="false">IF(M46="","",IF(SIGN(L46)=SIGN(N46),"적중","실패"))</f>
        <v/>
      </c>
      <c r="P46" s="15" t="str">
        <f aca="false">IF(M46="","",ABS(N46-L46))</f>
        <v/>
      </c>
      <c r="Q46" s="13"/>
    </row>
    <row r="47" customFormat="false" ht="15" hidden="false" customHeight="false" outlineLevel="0" collapsed="false">
      <c r="A47" s="13"/>
      <c r="B47" s="13"/>
      <c r="C47" s="13"/>
      <c r="D47" s="14"/>
      <c r="E47" s="14"/>
      <c r="F47" s="15" t="str">
        <f aca="false">IF(OR(E47="",D47=""),"",(E47-D47)/D47)</f>
        <v/>
      </c>
      <c r="G47" s="14"/>
      <c r="H47" s="15" t="str">
        <f aca="false">IF(OR(G47="",D47=""),"",(G47-D47)/D47)</f>
        <v/>
      </c>
      <c r="I47" s="16" t="str">
        <f aca="false">IF(G47="","",IF(SIGN(F47)=SIGN(H47),"적중","실패"))</f>
        <v/>
      </c>
      <c r="J47" s="15" t="str">
        <f aca="false">IF(G47="","",ABS(H47-F47))</f>
        <v/>
      </c>
      <c r="K47" s="14"/>
      <c r="L47" s="15" t="str">
        <f aca="false">IF(OR(K47="",D47=""),"",(K47-D47)/D47)</f>
        <v/>
      </c>
      <c r="M47" s="14"/>
      <c r="N47" s="15" t="str">
        <f aca="false">IF(OR(M47="",D47=""),"",(M47-D47)/D47)</f>
        <v/>
      </c>
      <c r="O47" s="16" t="str">
        <f aca="false">IF(M47="","",IF(SIGN(L47)=SIGN(N47),"적중","실패"))</f>
        <v/>
      </c>
      <c r="P47" s="15" t="str">
        <f aca="false">IF(M47="","",ABS(N47-L47))</f>
        <v/>
      </c>
      <c r="Q47" s="13"/>
    </row>
    <row r="48" customFormat="false" ht="15" hidden="false" customHeight="false" outlineLevel="0" collapsed="false">
      <c r="A48" s="13"/>
      <c r="B48" s="13"/>
      <c r="C48" s="13"/>
      <c r="D48" s="14"/>
      <c r="E48" s="14"/>
      <c r="F48" s="15" t="str">
        <f aca="false">IF(OR(E48="",D48=""),"",(E48-D48)/D48)</f>
        <v/>
      </c>
      <c r="G48" s="14"/>
      <c r="H48" s="15" t="str">
        <f aca="false">IF(OR(G48="",D48=""),"",(G48-D48)/D48)</f>
        <v/>
      </c>
      <c r="I48" s="16" t="str">
        <f aca="false">IF(G48="","",IF(SIGN(F48)=SIGN(H48),"적중","실패"))</f>
        <v/>
      </c>
      <c r="J48" s="15" t="str">
        <f aca="false">IF(G48="","",ABS(H48-F48))</f>
        <v/>
      </c>
      <c r="K48" s="14"/>
      <c r="L48" s="15" t="str">
        <f aca="false">IF(OR(K48="",D48=""),"",(K48-D48)/D48)</f>
        <v/>
      </c>
      <c r="M48" s="14"/>
      <c r="N48" s="15" t="str">
        <f aca="false">IF(OR(M48="",D48=""),"",(M48-D48)/D48)</f>
        <v/>
      </c>
      <c r="O48" s="16" t="str">
        <f aca="false">IF(M48="","",IF(SIGN(L48)=SIGN(N48),"적중","실패"))</f>
        <v/>
      </c>
      <c r="P48" s="15" t="str">
        <f aca="false">IF(M48="","",ABS(N48-L48))</f>
        <v/>
      </c>
      <c r="Q48" s="13"/>
    </row>
    <row r="49" customFormat="false" ht="15" hidden="false" customHeight="false" outlineLevel="0" collapsed="false">
      <c r="A49" s="13"/>
      <c r="B49" s="13"/>
      <c r="C49" s="13"/>
      <c r="D49" s="14"/>
      <c r="E49" s="14"/>
      <c r="F49" s="15" t="str">
        <f aca="false">IF(OR(E49="",D49=""),"",(E49-D49)/D49)</f>
        <v/>
      </c>
      <c r="G49" s="14"/>
      <c r="H49" s="15" t="str">
        <f aca="false">IF(OR(G49="",D49=""),"",(G49-D49)/D49)</f>
        <v/>
      </c>
      <c r="I49" s="16" t="str">
        <f aca="false">IF(G49="","",IF(SIGN(F49)=SIGN(H49),"적중","실패"))</f>
        <v/>
      </c>
      <c r="J49" s="15" t="str">
        <f aca="false">IF(G49="","",ABS(H49-F49))</f>
        <v/>
      </c>
      <c r="K49" s="14"/>
      <c r="L49" s="15" t="str">
        <f aca="false">IF(OR(K49="",D49=""),"",(K49-D49)/D49)</f>
        <v/>
      </c>
      <c r="M49" s="14"/>
      <c r="N49" s="15" t="str">
        <f aca="false">IF(OR(M49="",D49=""),"",(M49-D49)/D49)</f>
        <v/>
      </c>
      <c r="O49" s="16" t="str">
        <f aca="false">IF(M49="","",IF(SIGN(L49)=SIGN(N49),"적중","실패"))</f>
        <v/>
      </c>
      <c r="P49" s="15" t="str">
        <f aca="false">IF(M49="","",ABS(N49-L49))</f>
        <v/>
      </c>
      <c r="Q49" s="13"/>
    </row>
    <row r="50" customFormat="false" ht="15" hidden="false" customHeight="false" outlineLevel="0" collapsed="false">
      <c r="A50" s="13"/>
      <c r="B50" s="13"/>
      <c r="C50" s="13"/>
      <c r="D50" s="14"/>
      <c r="E50" s="14"/>
      <c r="F50" s="15" t="str">
        <f aca="false">IF(OR(E50="",D50=""),"",(E50-D50)/D50)</f>
        <v/>
      </c>
      <c r="G50" s="14"/>
      <c r="H50" s="15" t="str">
        <f aca="false">IF(OR(G50="",D50=""),"",(G50-D50)/D50)</f>
        <v/>
      </c>
      <c r="I50" s="16" t="str">
        <f aca="false">IF(G50="","",IF(SIGN(F50)=SIGN(H50),"적중","실패"))</f>
        <v/>
      </c>
      <c r="J50" s="15" t="str">
        <f aca="false">IF(G50="","",ABS(H50-F50))</f>
        <v/>
      </c>
      <c r="K50" s="14"/>
      <c r="L50" s="15" t="str">
        <f aca="false">IF(OR(K50="",D50=""),"",(K50-D50)/D50)</f>
        <v/>
      </c>
      <c r="M50" s="14"/>
      <c r="N50" s="15" t="str">
        <f aca="false">IF(OR(M50="",D50=""),"",(M50-D50)/D50)</f>
        <v/>
      </c>
      <c r="O50" s="16" t="str">
        <f aca="false">IF(M50="","",IF(SIGN(L50)=SIGN(N50),"적중","실패"))</f>
        <v/>
      </c>
      <c r="P50" s="15" t="str">
        <f aca="false">IF(M50="","",ABS(N50-L50))</f>
        <v/>
      </c>
      <c r="Q50" s="13"/>
    </row>
    <row r="51" customFormat="false" ht="15" hidden="false" customHeight="false" outlineLevel="0" collapsed="false">
      <c r="A51" s="13"/>
      <c r="B51" s="13"/>
      <c r="C51" s="13"/>
      <c r="D51" s="14"/>
      <c r="E51" s="14"/>
      <c r="F51" s="15" t="str">
        <f aca="false">IF(OR(E51="",D51=""),"",(E51-D51)/D51)</f>
        <v/>
      </c>
      <c r="G51" s="14"/>
      <c r="H51" s="15" t="str">
        <f aca="false">IF(OR(G51="",D51=""),"",(G51-D51)/D51)</f>
        <v/>
      </c>
      <c r="I51" s="16" t="str">
        <f aca="false">IF(G51="","",IF(SIGN(F51)=SIGN(H51),"적중","실패"))</f>
        <v/>
      </c>
      <c r="J51" s="15" t="str">
        <f aca="false">IF(G51="","",ABS(H51-F51))</f>
        <v/>
      </c>
      <c r="K51" s="14"/>
      <c r="L51" s="15" t="str">
        <f aca="false">IF(OR(K51="",D51=""),"",(K51-D51)/D51)</f>
        <v/>
      </c>
      <c r="M51" s="14"/>
      <c r="N51" s="15" t="str">
        <f aca="false">IF(OR(M51="",D51=""),"",(M51-D51)/D51)</f>
        <v/>
      </c>
      <c r="O51" s="16" t="str">
        <f aca="false">IF(M51="","",IF(SIGN(L51)=SIGN(N51),"적중","실패"))</f>
        <v/>
      </c>
      <c r="P51" s="15" t="str">
        <f aca="false">IF(M51="","",ABS(N51-L51))</f>
        <v/>
      </c>
      <c r="Q51" s="13"/>
    </row>
    <row r="52" customFormat="false" ht="15" hidden="false" customHeight="false" outlineLevel="0" collapsed="false">
      <c r="A52" s="13"/>
      <c r="B52" s="13"/>
      <c r="C52" s="13"/>
      <c r="D52" s="14"/>
      <c r="E52" s="14"/>
      <c r="F52" s="15" t="str">
        <f aca="false">IF(OR(E52="",D52=""),"",(E52-D52)/D52)</f>
        <v/>
      </c>
      <c r="G52" s="14"/>
      <c r="H52" s="15" t="str">
        <f aca="false">IF(OR(G52="",D52=""),"",(G52-D52)/D52)</f>
        <v/>
      </c>
      <c r="I52" s="16" t="str">
        <f aca="false">IF(G52="","",IF(SIGN(F52)=SIGN(H52),"적중","실패"))</f>
        <v/>
      </c>
      <c r="J52" s="15" t="str">
        <f aca="false">IF(G52="","",ABS(H52-F52))</f>
        <v/>
      </c>
      <c r="K52" s="14"/>
      <c r="L52" s="15" t="str">
        <f aca="false">IF(OR(K52="",D52=""),"",(K52-D52)/D52)</f>
        <v/>
      </c>
      <c r="M52" s="14"/>
      <c r="N52" s="15" t="str">
        <f aca="false">IF(OR(M52="",D52=""),"",(M52-D52)/D52)</f>
        <v/>
      </c>
      <c r="O52" s="16" t="str">
        <f aca="false">IF(M52="","",IF(SIGN(L52)=SIGN(N52),"적중","실패"))</f>
        <v/>
      </c>
      <c r="P52" s="15" t="str">
        <f aca="false">IF(M52="","",ABS(N52-L52))</f>
        <v/>
      </c>
      <c r="Q52" s="13"/>
    </row>
    <row r="53" customFormat="false" ht="15" hidden="false" customHeight="false" outlineLevel="0" collapsed="false">
      <c r="A53" s="13"/>
      <c r="B53" s="13"/>
      <c r="C53" s="13"/>
      <c r="D53" s="14"/>
      <c r="E53" s="14"/>
      <c r="F53" s="15" t="str">
        <f aca="false">IF(OR(E53="",D53=""),"",(E53-D53)/D53)</f>
        <v/>
      </c>
      <c r="G53" s="14"/>
      <c r="H53" s="15" t="str">
        <f aca="false">IF(OR(G53="",D53=""),"",(G53-D53)/D53)</f>
        <v/>
      </c>
      <c r="I53" s="16" t="str">
        <f aca="false">IF(G53="","",IF(SIGN(F53)=SIGN(H53),"적중","실패"))</f>
        <v/>
      </c>
      <c r="J53" s="15" t="str">
        <f aca="false">IF(G53="","",ABS(H53-F53))</f>
        <v/>
      </c>
      <c r="K53" s="14"/>
      <c r="L53" s="15" t="str">
        <f aca="false">IF(OR(K53="",D53=""),"",(K53-D53)/D53)</f>
        <v/>
      </c>
      <c r="M53" s="14"/>
      <c r="N53" s="15" t="str">
        <f aca="false">IF(OR(M53="",D53=""),"",(M53-D53)/D53)</f>
        <v/>
      </c>
      <c r="O53" s="16" t="str">
        <f aca="false">IF(M53="","",IF(SIGN(L53)=SIGN(N53),"적중","실패"))</f>
        <v/>
      </c>
      <c r="P53" s="15" t="str">
        <f aca="false">IF(M53="","",ABS(N53-L53))</f>
        <v/>
      </c>
      <c r="Q53" s="13"/>
    </row>
    <row r="54" customFormat="false" ht="15" hidden="false" customHeight="false" outlineLevel="0" collapsed="false">
      <c r="A54" s="13"/>
      <c r="B54" s="13"/>
      <c r="C54" s="13"/>
      <c r="D54" s="14"/>
      <c r="E54" s="14"/>
      <c r="F54" s="15" t="str">
        <f aca="false">IF(OR(E54="",D54=""),"",(E54-D54)/D54)</f>
        <v/>
      </c>
      <c r="G54" s="14"/>
      <c r="H54" s="15" t="str">
        <f aca="false">IF(OR(G54="",D54=""),"",(G54-D54)/D54)</f>
        <v/>
      </c>
      <c r="I54" s="16" t="str">
        <f aca="false">IF(G54="","",IF(SIGN(F54)=SIGN(H54),"적중","실패"))</f>
        <v/>
      </c>
      <c r="J54" s="15" t="str">
        <f aca="false">IF(G54="","",ABS(H54-F54))</f>
        <v/>
      </c>
      <c r="K54" s="14"/>
      <c r="L54" s="15" t="str">
        <f aca="false">IF(OR(K54="",D54=""),"",(K54-D54)/D54)</f>
        <v/>
      </c>
      <c r="M54" s="14"/>
      <c r="N54" s="15" t="str">
        <f aca="false">IF(OR(M54="",D54=""),"",(M54-D54)/D54)</f>
        <v/>
      </c>
      <c r="O54" s="16" t="str">
        <f aca="false">IF(M54="","",IF(SIGN(L54)=SIGN(N54),"적중","실패"))</f>
        <v/>
      </c>
      <c r="P54" s="15" t="str">
        <f aca="false">IF(M54="","",ABS(N54-L54))</f>
        <v/>
      </c>
      <c r="Q54" s="13"/>
    </row>
    <row r="55" customFormat="false" ht="15" hidden="false" customHeight="false" outlineLevel="0" collapsed="false">
      <c r="A55" s="13"/>
      <c r="B55" s="13"/>
      <c r="C55" s="13"/>
      <c r="D55" s="14"/>
      <c r="E55" s="14"/>
      <c r="F55" s="15" t="str">
        <f aca="false">IF(OR(E55="",D55=""),"",(E55-D55)/D55)</f>
        <v/>
      </c>
      <c r="G55" s="14"/>
      <c r="H55" s="15" t="str">
        <f aca="false">IF(OR(G55="",D55=""),"",(G55-D55)/D55)</f>
        <v/>
      </c>
      <c r="I55" s="16" t="str">
        <f aca="false">IF(G55="","",IF(SIGN(F55)=SIGN(H55),"적중","실패"))</f>
        <v/>
      </c>
      <c r="J55" s="15" t="str">
        <f aca="false">IF(G55="","",ABS(H55-F55))</f>
        <v/>
      </c>
      <c r="K55" s="14"/>
      <c r="L55" s="15" t="str">
        <f aca="false">IF(OR(K55="",D55=""),"",(K55-D55)/D55)</f>
        <v/>
      </c>
      <c r="M55" s="14"/>
      <c r="N55" s="15" t="str">
        <f aca="false">IF(OR(M55="",D55=""),"",(M55-D55)/D55)</f>
        <v/>
      </c>
      <c r="O55" s="16" t="str">
        <f aca="false">IF(M55="","",IF(SIGN(L55)=SIGN(N55),"적중","실패"))</f>
        <v/>
      </c>
      <c r="P55" s="15" t="str">
        <f aca="false">IF(M55="","",ABS(N55-L55))</f>
        <v/>
      </c>
      <c r="Q55" s="13"/>
    </row>
    <row r="56" customFormat="false" ht="15" hidden="false" customHeight="false" outlineLevel="0" collapsed="false">
      <c r="A56" s="13"/>
      <c r="B56" s="13"/>
      <c r="C56" s="13"/>
      <c r="D56" s="14"/>
      <c r="E56" s="14"/>
      <c r="F56" s="15" t="str">
        <f aca="false">IF(OR(E56="",D56=""),"",(E56-D56)/D56)</f>
        <v/>
      </c>
      <c r="G56" s="14"/>
      <c r="H56" s="15" t="str">
        <f aca="false">IF(OR(G56="",D56=""),"",(G56-D56)/D56)</f>
        <v/>
      </c>
      <c r="I56" s="16" t="str">
        <f aca="false">IF(G56="","",IF(SIGN(F56)=SIGN(H56),"적중","실패"))</f>
        <v/>
      </c>
      <c r="J56" s="15" t="str">
        <f aca="false">IF(G56="","",ABS(H56-F56))</f>
        <v/>
      </c>
      <c r="K56" s="14"/>
      <c r="L56" s="15" t="str">
        <f aca="false">IF(OR(K56="",D56=""),"",(K56-D56)/D56)</f>
        <v/>
      </c>
      <c r="M56" s="14"/>
      <c r="N56" s="15" t="str">
        <f aca="false">IF(OR(M56="",D56=""),"",(M56-D56)/D56)</f>
        <v/>
      </c>
      <c r="O56" s="16" t="str">
        <f aca="false">IF(M56="","",IF(SIGN(L56)=SIGN(N56),"적중","실패"))</f>
        <v/>
      </c>
      <c r="P56" s="15" t="str">
        <f aca="false">IF(M56="","",ABS(N56-L56))</f>
        <v/>
      </c>
      <c r="Q56" s="13"/>
    </row>
    <row r="57" customFormat="false" ht="15" hidden="false" customHeight="false" outlineLevel="0" collapsed="false">
      <c r="A57" s="13"/>
      <c r="B57" s="13"/>
      <c r="C57" s="13"/>
      <c r="D57" s="14"/>
      <c r="E57" s="14"/>
      <c r="F57" s="15" t="str">
        <f aca="false">IF(OR(E57="",D57=""),"",(E57-D57)/D57)</f>
        <v/>
      </c>
      <c r="G57" s="14"/>
      <c r="H57" s="15" t="str">
        <f aca="false">IF(OR(G57="",D57=""),"",(G57-D57)/D57)</f>
        <v/>
      </c>
      <c r="I57" s="16" t="str">
        <f aca="false">IF(G57="","",IF(SIGN(F57)=SIGN(H57),"적중","실패"))</f>
        <v/>
      </c>
      <c r="J57" s="15" t="str">
        <f aca="false">IF(G57="","",ABS(H57-F57))</f>
        <v/>
      </c>
      <c r="K57" s="14"/>
      <c r="L57" s="15" t="str">
        <f aca="false">IF(OR(K57="",D57=""),"",(K57-D57)/D57)</f>
        <v/>
      </c>
      <c r="M57" s="14"/>
      <c r="N57" s="15" t="str">
        <f aca="false">IF(OR(M57="",D57=""),"",(M57-D57)/D57)</f>
        <v/>
      </c>
      <c r="O57" s="16" t="str">
        <f aca="false">IF(M57="","",IF(SIGN(L57)=SIGN(N57),"적중","실패"))</f>
        <v/>
      </c>
      <c r="P57" s="15" t="str">
        <f aca="false">IF(M57="","",ABS(N57-L57))</f>
        <v/>
      </c>
      <c r="Q57" s="13"/>
    </row>
    <row r="58" customFormat="false" ht="15" hidden="false" customHeight="false" outlineLevel="0" collapsed="false">
      <c r="A58" s="13"/>
      <c r="B58" s="13"/>
      <c r="C58" s="13"/>
      <c r="D58" s="14"/>
      <c r="E58" s="14"/>
      <c r="F58" s="15" t="str">
        <f aca="false">IF(OR(E58="",D58=""),"",(E58-D58)/D58)</f>
        <v/>
      </c>
      <c r="G58" s="14"/>
      <c r="H58" s="15" t="str">
        <f aca="false">IF(OR(G58="",D58=""),"",(G58-D58)/D58)</f>
        <v/>
      </c>
      <c r="I58" s="16" t="str">
        <f aca="false">IF(G58="","",IF(SIGN(F58)=SIGN(H58),"적중","실패"))</f>
        <v/>
      </c>
      <c r="J58" s="15" t="str">
        <f aca="false">IF(G58="","",ABS(H58-F58))</f>
        <v/>
      </c>
      <c r="K58" s="14"/>
      <c r="L58" s="15" t="str">
        <f aca="false">IF(OR(K58="",D58=""),"",(K58-D58)/D58)</f>
        <v/>
      </c>
      <c r="M58" s="14"/>
      <c r="N58" s="15" t="str">
        <f aca="false">IF(OR(M58="",D58=""),"",(M58-D58)/D58)</f>
        <v/>
      </c>
      <c r="O58" s="16" t="str">
        <f aca="false">IF(M58="","",IF(SIGN(L58)=SIGN(N58),"적중","실패"))</f>
        <v/>
      </c>
      <c r="P58" s="15" t="str">
        <f aca="false">IF(M58="","",ABS(N58-L58))</f>
        <v/>
      </c>
      <c r="Q58" s="13"/>
    </row>
    <row r="59" customFormat="false" ht="15" hidden="false" customHeight="false" outlineLevel="0" collapsed="false">
      <c r="A59" s="13"/>
      <c r="B59" s="13"/>
      <c r="C59" s="13"/>
      <c r="D59" s="14"/>
      <c r="E59" s="14"/>
      <c r="F59" s="15" t="str">
        <f aca="false">IF(OR(E59="",D59=""),"",(E59-D59)/D59)</f>
        <v/>
      </c>
      <c r="G59" s="14"/>
      <c r="H59" s="15" t="str">
        <f aca="false">IF(OR(G59="",D59=""),"",(G59-D59)/D59)</f>
        <v/>
      </c>
      <c r="I59" s="16" t="str">
        <f aca="false">IF(G59="","",IF(SIGN(F59)=SIGN(H59),"적중","실패"))</f>
        <v/>
      </c>
      <c r="J59" s="15" t="str">
        <f aca="false">IF(G59="","",ABS(H59-F59))</f>
        <v/>
      </c>
      <c r="K59" s="14"/>
      <c r="L59" s="15" t="str">
        <f aca="false">IF(OR(K59="",D59=""),"",(K59-D59)/D59)</f>
        <v/>
      </c>
      <c r="M59" s="14"/>
      <c r="N59" s="15" t="str">
        <f aca="false">IF(OR(M59="",D59=""),"",(M59-D59)/D59)</f>
        <v/>
      </c>
      <c r="O59" s="16" t="str">
        <f aca="false">IF(M59="","",IF(SIGN(L59)=SIGN(N59),"적중","실패"))</f>
        <v/>
      </c>
      <c r="P59" s="15" t="str">
        <f aca="false">IF(M59="","",ABS(N59-L59))</f>
        <v/>
      </c>
      <c r="Q59" s="13"/>
    </row>
    <row r="60" customFormat="false" ht="15" hidden="false" customHeight="false" outlineLevel="0" collapsed="false">
      <c r="A60" s="13"/>
      <c r="B60" s="13"/>
      <c r="C60" s="13"/>
      <c r="D60" s="14"/>
      <c r="E60" s="14"/>
      <c r="F60" s="15" t="str">
        <f aca="false">IF(OR(E60="",D60=""),"",(E60-D60)/D60)</f>
        <v/>
      </c>
      <c r="G60" s="14"/>
      <c r="H60" s="15" t="str">
        <f aca="false">IF(OR(G60="",D60=""),"",(G60-D60)/D60)</f>
        <v/>
      </c>
      <c r="I60" s="16" t="str">
        <f aca="false">IF(G60="","",IF(SIGN(F60)=SIGN(H60),"적중","실패"))</f>
        <v/>
      </c>
      <c r="J60" s="15" t="str">
        <f aca="false">IF(G60="","",ABS(H60-F60))</f>
        <v/>
      </c>
      <c r="K60" s="14"/>
      <c r="L60" s="15" t="str">
        <f aca="false">IF(OR(K60="",D60=""),"",(K60-D60)/D60)</f>
        <v/>
      </c>
      <c r="M60" s="14"/>
      <c r="N60" s="15" t="str">
        <f aca="false">IF(OR(M60="",D60=""),"",(M60-D60)/D60)</f>
        <v/>
      </c>
      <c r="O60" s="16" t="str">
        <f aca="false">IF(M60="","",IF(SIGN(L60)=SIGN(N60),"적중","실패"))</f>
        <v/>
      </c>
      <c r="P60" s="15" t="str">
        <f aca="false">IF(M60="","",ABS(N60-L60))</f>
        <v/>
      </c>
      <c r="Q60" s="13"/>
    </row>
    <row r="61" customFormat="false" ht="15" hidden="false" customHeight="false" outlineLevel="0" collapsed="false">
      <c r="A61" s="13"/>
      <c r="B61" s="13"/>
      <c r="C61" s="13"/>
      <c r="D61" s="14"/>
      <c r="E61" s="14"/>
      <c r="F61" s="15" t="str">
        <f aca="false">IF(OR(E61="",D61=""),"",(E61-D61)/D61)</f>
        <v/>
      </c>
      <c r="G61" s="14"/>
      <c r="H61" s="15" t="str">
        <f aca="false">IF(OR(G61="",D61=""),"",(G61-D61)/D61)</f>
        <v/>
      </c>
      <c r="I61" s="16" t="str">
        <f aca="false">IF(G61="","",IF(SIGN(F61)=SIGN(H61),"적중","실패"))</f>
        <v/>
      </c>
      <c r="J61" s="15" t="str">
        <f aca="false">IF(G61="","",ABS(H61-F61))</f>
        <v/>
      </c>
      <c r="K61" s="14"/>
      <c r="L61" s="15" t="str">
        <f aca="false">IF(OR(K61="",D61=""),"",(K61-D61)/D61)</f>
        <v/>
      </c>
      <c r="M61" s="14"/>
      <c r="N61" s="15" t="str">
        <f aca="false">IF(OR(M61="",D61=""),"",(M61-D61)/D61)</f>
        <v/>
      </c>
      <c r="O61" s="16" t="str">
        <f aca="false">IF(M61="","",IF(SIGN(L61)=SIGN(N61),"적중","실패"))</f>
        <v/>
      </c>
      <c r="P61" s="15" t="str">
        <f aca="false">IF(M61="","",ABS(N61-L61))</f>
        <v/>
      </c>
      <c r="Q61" s="13"/>
    </row>
    <row r="62" customFormat="false" ht="15" hidden="false" customHeight="false" outlineLevel="0" collapsed="false">
      <c r="A62" s="13"/>
      <c r="B62" s="13"/>
      <c r="C62" s="13"/>
      <c r="D62" s="14"/>
      <c r="E62" s="14"/>
      <c r="F62" s="15" t="str">
        <f aca="false">IF(OR(E62="",D62=""),"",(E62-D62)/D62)</f>
        <v/>
      </c>
      <c r="G62" s="14"/>
      <c r="H62" s="15" t="str">
        <f aca="false">IF(OR(G62="",D62=""),"",(G62-D62)/D62)</f>
        <v/>
      </c>
      <c r="I62" s="16" t="str">
        <f aca="false">IF(G62="","",IF(SIGN(F62)=SIGN(H62),"적중","실패"))</f>
        <v/>
      </c>
      <c r="J62" s="15" t="str">
        <f aca="false">IF(G62="","",ABS(H62-F62))</f>
        <v/>
      </c>
      <c r="K62" s="14"/>
      <c r="L62" s="15" t="str">
        <f aca="false">IF(OR(K62="",D62=""),"",(K62-D62)/D62)</f>
        <v/>
      </c>
      <c r="M62" s="14"/>
      <c r="N62" s="15" t="str">
        <f aca="false">IF(OR(M62="",D62=""),"",(M62-D62)/D62)</f>
        <v/>
      </c>
      <c r="O62" s="16" t="str">
        <f aca="false">IF(M62="","",IF(SIGN(L62)=SIGN(N62),"적중","실패"))</f>
        <v/>
      </c>
      <c r="P62" s="15" t="str">
        <f aca="false">IF(M62="","",ABS(N62-L62))</f>
        <v/>
      </c>
      <c r="Q62" s="13"/>
    </row>
    <row r="63" customFormat="false" ht="15" hidden="false" customHeight="false" outlineLevel="0" collapsed="false">
      <c r="A63" s="13"/>
      <c r="B63" s="13"/>
      <c r="C63" s="13"/>
      <c r="D63" s="14"/>
      <c r="E63" s="14"/>
      <c r="F63" s="15" t="str">
        <f aca="false">IF(OR(E63="",D63=""),"",(E63-D63)/D63)</f>
        <v/>
      </c>
      <c r="G63" s="14"/>
      <c r="H63" s="15" t="str">
        <f aca="false">IF(OR(G63="",D63=""),"",(G63-D63)/D63)</f>
        <v/>
      </c>
      <c r="I63" s="16" t="str">
        <f aca="false">IF(G63="","",IF(SIGN(F63)=SIGN(H63),"적중","실패"))</f>
        <v/>
      </c>
      <c r="J63" s="15" t="str">
        <f aca="false">IF(G63="","",ABS(H63-F63))</f>
        <v/>
      </c>
      <c r="K63" s="14"/>
      <c r="L63" s="15" t="str">
        <f aca="false">IF(OR(K63="",D63=""),"",(K63-D63)/D63)</f>
        <v/>
      </c>
      <c r="M63" s="14"/>
      <c r="N63" s="15" t="str">
        <f aca="false">IF(OR(M63="",D63=""),"",(M63-D63)/D63)</f>
        <v/>
      </c>
      <c r="O63" s="16" t="str">
        <f aca="false">IF(M63="","",IF(SIGN(L63)=SIGN(N63),"적중","실패"))</f>
        <v/>
      </c>
      <c r="P63" s="15" t="str">
        <f aca="false">IF(M63="","",ABS(N63-L63))</f>
        <v/>
      </c>
      <c r="Q63" s="13"/>
    </row>
    <row r="64" customFormat="false" ht="15" hidden="false" customHeight="false" outlineLevel="0" collapsed="false">
      <c r="A64" s="13"/>
      <c r="B64" s="13"/>
      <c r="C64" s="13"/>
      <c r="D64" s="14"/>
      <c r="E64" s="14"/>
      <c r="F64" s="15" t="str">
        <f aca="false">IF(OR(E64="",D64=""),"",(E64-D64)/D64)</f>
        <v/>
      </c>
      <c r="G64" s="14"/>
      <c r="H64" s="15" t="str">
        <f aca="false">IF(OR(G64="",D64=""),"",(G64-D64)/D64)</f>
        <v/>
      </c>
      <c r="I64" s="16" t="str">
        <f aca="false">IF(G64="","",IF(SIGN(F64)=SIGN(H64),"적중","실패"))</f>
        <v/>
      </c>
      <c r="J64" s="15" t="str">
        <f aca="false">IF(G64="","",ABS(H64-F64))</f>
        <v/>
      </c>
      <c r="K64" s="14"/>
      <c r="L64" s="15" t="str">
        <f aca="false">IF(OR(K64="",D64=""),"",(K64-D64)/D64)</f>
        <v/>
      </c>
      <c r="M64" s="14"/>
      <c r="N64" s="15" t="str">
        <f aca="false">IF(OR(M64="",D64=""),"",(M64-D64)/D64)</f>
        <v/>
      </c>
      <c r="O64" s="16" t="str">
        <f aca="false">IF(M64="","",IF(SIGN(L64)=SIGN(N64),"적중","실패"))</f>
        <v/>
      </c>
      <c r="P64" s="15" t="str">
        <f aca="false">IF(M64="","",ABS(N64-L64))</f>
        <v/>
      </c>
      <c r="Q64" s="13"/>
    </row>
    <row r="65" customFormat="false" ht="15" hidden="false" customHeight="false" outlineLevel="0" collapsed="false">
      <c r="A65" s="13"/>
      <c r="B65" s="13"/>
      <c r="C65" s="13"/>
      <c r="D65" s="14"/>
      <c r="E65" s="14"/>
      <c r="F65" s="15" t="str">
        <f aca="false">IF(OR(E65="",D65=""),"",(E65-D65)/D65)</f>
        <v/>
      </c>
      <c r="G65" s="14"/>
      <c r="H65" s="15" t="str">
        <f aca="false">IF(OR(G65="",D65=""),"",(G65-D65)/D65)</f>
        <v/>
      </c>
      <c r="I65" s="16" t="str">
        <f aca="false">IF(G65="","",IF(SIGN(F65)=SIGN(H65),"적중","실패"))</f>
        <v/>
      </c>
      <c r="J65" s="15" t="str">
        <f aca="false">IF(G65="","",ABS(H65-F65))</f>
        <v/>
      </c>
      <c r="K65" s="14"/>
      <c r="L65" s="15" t="str">
        <f aca="false">IF(OR(K65="",D65=""),"",(K65-D65)/D65)</f>
        <v/>
      </c>
      <c r="M65" s="14"/>
      <c r="N65" s="15" t="str">
        <f aca="false">IF(OR(M65="",D65=""),"",(M65-D65)/D65)</f>
        <v/>
      </c>
      <c r="O65" s="16" t="str">
        <f aca="false">IF(M65="","",IF(SIGN(L65)=SIGN(N65),"적중","실패"))</f>
        <v/>
      </c>
      <c r="P65" s="15" t="str">
        <f aca="false">IF(M65="","",ABS(N65-L65))</f>
        <v/>
      </c>
      <c r="Q65" s="13"/>
    </row>
    <row r="66" customFormat="false" ht="15" hidden="false" customHeight="false" outlineLevel="0" collapsed="false">
      <c r="A66" s="13"/>
      <c r="B66" s="13"/>
      <c r="C66" s="13"/>
      <c r="D66" s="14"/>
      <c r="E66" s="14"/>
      <c r="F66" s="15" t="str">
        <f aca="false">IF(OR(E66="",D66=""),"",(E66-D66)/D66)</f>
        <v/>
      </c>
      <c r="G66" s="14"/>
      <c r="H66" s="15" t="str">
        <f aca="false">IF(OR(G66="",D66=""),"",(G66-D66)/D66)</f>
        <v/>
      </c>
      <c r="I66" s="16" t="str">
        <f aca="false">IF(G66="","",IF(SIGN(F66)=SIGN(H66),"적중","실패"))</f>
        <v/>
      </c>
      <c r="J66" s="15" t="str">
        <f aca="false">IF(G66="","",ABS(H66-F66))</f>
        <v/>
      </c>
      <c r="K66" s="14"/>
      <c r="L66" s="15" t="str">
        <f aca="false">IF(OR(K66="",D66=""),"",(K66-D66)/D66)</f>
        <v/>
      </c>
      <c r="M66" s="14"/>
      <c r="N66" s="15" t="str">
        <f aca="false">IF(OR(M66="",D66=""),"",(M66-D66)/D66)</f>
        <v/>
      </c>
      <c r="O66" s="16" t="str">
        <f aca="false">IF(M66="","",IF(SIGN(L66)=SIGN(N66),"적중","실패"))</f>
        <v/>
      </c>
      <c r="P66" s="15" t="str">
        <f aca="false">IF(M66="","",ABS(N66-L66))</f>
        <v/>
      </c>
      <c r="Q66" s="13"/>
    </row>
    <row r="67" customFormat="false" ht="15" hidden="false" customHeight="false" outlineLevel="0" collapsed="false">
      <c r="A67" s="13"/>
      <c r="B67" s="13"/>
      <c r="C67" s="13"/>
      <c r="D67" s="14"/>
      <c r="E67" s="14"/>
      <c r="F67" s="15" t="str">
        <f aca="false">IF(OR(E67="",D67=""),"",(E67-D67)/D67)</f>
        <v/>
      </c>
      <c r="G67" s="14"/>
      <c r="H67" s="15" t="str">
        <f aca="false">IF(OR(G67="",D67=""),"",(G67-D67)/D67)</f>
        <v/>
      </c>
      <c r="I67" s="16" t="str">
        <f aca="false">IF(G67="","",IF(SIGN(F67)=SIGN(H67),"적중","실패"))</f>
        <v/>
      </c>
      <c r="J67" s="15" t="str">
        <f aca="false">IF(G67="","",ABS(H67-F67))</f>
        <v/>
      </c>
      <c r="K67" s="14"/>
      <c r="L67" s="15" t="str">
        <f aca="false">IF(OR(K67="",D67=""),"",(K67-D67)/D67)</f>
        <v/>
      </c>
      <c r="M67" s="14"/>
      <c r="N67" s="15" t="str">
        <f aca="false">IF(OR(M67="",D67=""),"",(M67-D67)/D67)</f>
        <v/>
      </c>
      <c r="O67" s="16" t="str">
        <f aca="false">IF(M67="","",IF(SIGN(L67)=SIGN(N67),"적중","실패"))</f>
        <v/>
      </c>
      <c r="P67" s="15" t="str">
        <f aca="false">IF(M67="","",ABS(N67-L67))</f>
        <v/>
      </c>
      <c r="Q67" s="13"/>
    </row>
    <row r="68" customFormat="false" ht="15" hidden="false" customHeight="false" outlineLevel="0" collapsed="false">
      <c r="A68" s="13"/>
      <c r="B68" s="13"/>
      <c r="C68" s="13"/>
      <c r="D68" s="14"/>
      <c r="E68" s="14"/>
      <c r="F68" s="15" t="str">
        <f aca="false">IF(OR(E68="",D68=""),"",(E68-D68)/D68)</f>
        <v/>
      </c>
      <c r="G68" s="14"/>
      <c r="H68" s="15" t="str">
        <f aca="false">IF(OR(G68="",D68=""),"",(G68-D68)/D68)</f>
        <v/>
      </c>
      <c r="I68" s="16" t="str">
        <f aca="false">IF(G68="","",IF(SIGN(F68)=SIGN(H68),"적중","실패"))</f>
        <v/>
      </c>
      <c r="J68" s="15" t="str">
        <f aca="false">IF(G68="","",ABS(H68-F68))</f>
        <v/>
      </c>
      <c r="K68" s="14"/>
      <c r="L68" s="15" t="str">
        <f aca="false">IF(OR(K68="",D68=""),"",(K68-D68)/D68)</f>
        <v/>
      </c>
      <c r="M68" s="14"/>
      <c r="N68" s="15" t="str">
        <f aca="false">IF(OR(M68="",D68=""),"",(M68-D68)/D68)</f>
        <v/>
      </c>
      <c r="O68" s="16" t="str">
        <f aca="false">IF(M68="","",IF(SIGN(L68)=SIGN(N68),"적중","실패"))</f>
        <v/>
      </c>
      <c r="P68" s="15" t="str">
        <f aca="false">IF(M68="","",ABS(N68-L68))</f>
        <v/>
      </c>
      <c r="Q68" s="13"/>
    </row>
    <row r="69" customFormat="false" ht="15" hidden="false" customHeight="false" outlineLevel="0" collapsed="false">
      <c r="A69" s="13"/>
      <c r="B69" s="13"/>
      <c r="C69" s="13"/>
      <c r="D69" s="14"/>
      <c r="E69" s="14"/>
      <c r="F69" s="15" t="str">
        <f aca="false">IF(OR(E69="",D69=""),"",(E69-D69)/D69)</f>
        <v/>
      </c>
      <c r="G69" s="14"/>
      <c r="H69" s="15" t="str">
        <f aca="false">IF(OR(G69="",D69=""),"",(G69-D69)/D69)</f>
        <v/>
      </c>
      <c r="I69" s="16" t="str">
        <f aca="false">IF(G69="","",IF(SIGN(F69)=SIGN(H69),"적중","실패"))</f>
        <v/>
      </c>
      <c r="J69" s="15" t="str">
        <f aca="false">IF(G69="","",ABS(H69-F69))</f>
        <v/>
      </c>
      <c r="K69" s="14"/>
      <c r="L69" s="15" t="str">
        <f aca="false">IF(OR(K69="",D69=""),"",(K69-D69)/D69)</f>
        <v/>
      </c>
      <c r="M69" s="14"/>
      <c r="N69" s="15" t="str">
        <f aca="false">IF(OR(M69="",D69=""),"",(M69-D69)/D69)</f>
        <v/>
      </c>
      <c r="O69" s="16" t="str">
        <f aca="false">IF(M69="","",IF(SIGN(L69)=SIGN(N69),"적중","실패"))</f>
        <v/>
      </c>
      <c r="P69" s="15" t="str">
        <f aca="false">IF(M69="","",ABS(N69-L69))</f>
        <v/>
      </c>
      <c r="Q69" s="13"/>
    </row>
    <row r="70" customFormat="false" ht="15" hidden="false" customHeight="false" outlineLevel="0" collapsed="false">
      <c r="A70" s="13"/>
      <c r="B70" s="13"/>
      <c r="C70" s="13"/>
      <c r="D70" s="14"/>
      <c r="E70" s="14"/>
      <c r="F70" s="15" t="str">
        <f aca="false">IF(OR(E70="",D70=""),"",(E70-D70)/D70)</f>
        <v/>
      </c>
      <c r="G70" s="14"/>
      <c r="H70" s="15" t="str">
        <f aca="false">IF(OR(G70="",D70=""),"",(G70-D70)/D70)</f>
        <v/>
      </c>
      <c r="I70" s="16" t="str">
        <f aca="false">IF(G70="","",IF(SIGN(F70)=SIGN(H70),"적중","실패"))</f>
        <v/>
      </c>
      <c r="J70" s="15" t="str">
        <f aca="false">IF(G70="","",ABS(H70-F70))</f>
        <v/>
      </c>
      <c r="K70" s="14"/>
      <c r="L70" s="15" t="str">
        <f aca="false">IF(OR(K70="",D70=""),"",(K70-D70)/D70)</f>
        <v/>
      </c>
      <c r="M70" s="14"/>
      <c r="N70" s="15" t="str">
        <f aca="false">IF(OR(M70="",D70=""),"",(M70-D70)/D70)</f>
        <v/>
      </c>
      <c r="O70" s="16" t="str">
        <f aca="false">IF(M70="","",IF(SIGN(L70)=SIGN(N70),"적중","실패"))</f>
        <v/>
      </c>
      <c r="P70" s="15" t="str">
        <f aca="false">IF(M70="","",ABS(N70-L70))</f>
        <v/>
      </c>
      <c r="Q70" s="13"/>
    </row>
    <row r="71" customFormat="false" ht="15" hidden="false" customHeight="false" outlineLevel="0" collapsed="false">
      <c r="A71" s="13"/>
      <c r="B71" s="13"/>
      <c r="C71" s="13"/>
      <c r="D71" s="14"/>
      <c r="E71" s="14"/>
      <c r="F71" s="15" t="str">
        <f aca="false">IF(OR(E71="",D71=""),"",(E71-D71)/D71)</f>
        <v/>
      </c>
      <c r="G71" s="14"/>
      <c r="H71" s="15" t="str">
        <f aca="false">IF(OR(G71="",D71=""),"",(G71-D71)/D71)</f>
        <v/>
      </c>
      <c r="I71" s="16" t="str">
        <f aca="false">IF(G71="","",IF(SIGN(F71)=SIGN(H71),"적중","실패"))</f>
        <v/>
      </c>
      <c r="J71" s="15" t="str">
        <f aca="false">IF(G71="","",ABS(H71-F71))</f>
        <v/>
      </c>
      <c r="K71" s="14"/>
      <c r="L71" s="15" t="str">
        <f aca="false">IF(OR(K71="",D71=""),"",(K71-D71)/D71)</f>
        <v/>
      </c>
      <c r="M71" s="14"/>
      <c r="N71" s="15" t="str">
        <f aca="false">IF(OR(M71="",D71=""),"",(M71-D71)/D71)</f>
        <v/>
      </c>
      <c r="O71" s="16" t="str">
        <f aca="false">IF(M71="","",IF(SIGN(L71)=SIGN(N71),"적중","실패"))</f>
        <v/>
      </c>
      <c r="P71" s="15" t="str">
        <f aca="false">IF(M71="","",ABS(N71-L71))</f>
        <v/>
      </c>
      <c r="Q71" s="13"/>
    </row>
    <row r="72" customFormat="false" ht="15" hidden="false" customHeight="false" outlineLevel="0" collapsed="false">
      <c r="A72" s="13"/>
      <c r="B72" s="13"/>
      <c r="C72" s="13"/>
      <c r="D72" s="14"/>
      <c r="E72" s="14"/>
      <c r="F72" s="15" t="str">
        <f aca="false">IF(OR(E72="",D72=""),"",(E72-D72)/D72)</f>
        <v/>
      </c>
      <c r="G72" s="14"/>
      <c r="H72" s="15" t="str">
        <f aca="false">IF(OR(G72="",D72=""),"",(G72-D72)/D72)</f>
        <v/>
      </c>
      <c r="I72" s="16" t="str">
        <f aca="false">IF(G72="","",IF(SIGN(F72)=SIGN(H72),"적중","실패"))</f>
        <v/>
      </c>
      <c r="J72" s="15" t="str">
        <f aca="false">IF(G72="","",ABS(H72-F72))</f>
        <v/>
      </c>
      <c r="K72" s="14"/>
      <c r="L72" s="15" t="str">
        <f aca="false">IF(OR(K72="",D72=""),"",(K72-D72)/D72)</f>
        <v/>
      </c>
      <c r="M72" s="14"/>
      <c r="N72" s="15" t="str">
        <f aca="false">IF(OR(M72="",D72=""),"",(M72-D72)/D72)</f>
        <v/>
      </c>
      <c r="O72" s="16" t="str">
        <f aca="false">IF(M72="","",IF(SIGN(L72)=SIGN(N72),"적중","실패"))</f>
        <v/>
      </c>
      <c r="P72" s="15" t="str">
        <f aca="false">IF(M72="","",ABS(N72-L72))</f>
        <v/>
      </c>
      <c r="Q72" s="13"/>
    </row>
    <row r="73" customFormat="false" ht="15" hidden="false" customHeight="false" outlineLevel="0" collapsed="false">
      <c r="A73" s="13"/>
      <c r="B73" s="13"/>
      <c r="C73" s="13"/>
      <c r="D73" s="14"/>
      <c r="E73" s="14"/>
      <c r="F73" s="15" t="str">
        <f aca="false">IF(OR(E73="",D73=""),"",(E73-D73)/D73)</f>
        <v/>
      </c>
      <c r="G73" s="14"/>
      <c r="H73" s="15" t="str">
        <f aca="false">IF(OR(G73="",D73=""),"",(G73-D73)/D73)</f>
        <v/>
      </c>
      <c r="I73" s="16" t="str">
        <f aca="false">IF(G73="","",IF(SIGN(F73)=SIGN(H73),"적중","실패"))</f>
        <v/>
      </c>
      <c r="J73" s="15" t="str">
        <f aca="false">IF(G73="","",ABS(H73-F73))</f>
        <v/>
      </c>
      <c r="K73" s="14"/>
      <c r="L73" s="15" t="str">
        <f aca="false">IF(OR(K73="",D73=""),"",(K73-D73)/D73)</f>
        <v/>
      </c>
      <c r="M73" s="14"/>
      <c r="N73" s="15" t="str">
        <f aca="false">IF(OR(M73="",D73=""),"",(M73-D73)/D73)</f>
        <v/>
      </c>
      <c r="O73" s="16" t="str">
        <f aca="false">IF(M73="","",IF(SIGN(L73)=SIGN(N73),"적중","실패"))</f>
        <v/>
      </c>
      <c r="P73" s="15" t="str">
        <f aca="false">IF(M73="","",ABS(N73-L73))</f>
        <v/>
      </c>
      <c r="Q73" s="13"/>
    </row>
    <row r="74" customFormat="false" ht="15" hidden="false" customHeight="false" outlineLevel="0" collapsed="false">
      <c r="A74" s="13"/>
      <c r="B74" s="13"/>
      <c r="C74" s="13"/>
      <c r="D74" s="14"/>
      <c r="E74" s="14"/>
      <c r="F74" s="15" t="str">
        <f aca="false">IF(OR(E74="",D74=""),"",(E74-D74)/D74)</f>
        <v/>
      </c>
      <c r="G74" s="14"/>
      <c r="H74" s="15" t="str">
        <f aca="false">IF(OR(G74="",D74=""),"",(G74-D74)/D74)</f>
        <v/>
      </c>
      <c r="I74" s="16" t="str">
        <f aca="false">IF(G74="","",IF(SIGN(F74)=SIGN(H74),"적중","실패"))</f>
        <v/>
      </c>
      <c r="J74" s="15" t="str">
        <f aca="false">IF(G74="","",ABS(H74-F74))</f>
        <v/>
      </c>
      <c r="K74" s="14"/>
      <c r="L74" s="15" t="str">
        <f aca="false">IF(OR(K74="",D74=""),"",(K74-D74)/D74)</f>
        <v/>
      </c>
      <c r="M74" s="14"/>
      <c r="N74" s="15" t="str">
        <f aca="false">IF(OR(M74="",D74=""),"",(M74-D74)/D74)</f>
        <v/>
      </c>
      <c r="O74" s="16" t="str">
        <f aca="false">IF(M74="","",IF(SIGN(L74)=SIGN(N74),"적중","실패"))</f>
        <v/>
      </c>
      <c r="P74" s="15" t="str">
        <f aca="false">IF(M74="","",ABS(N74-L74))</f>
        <v/>
      </c>
      <c r="Q74" s="13"/>
    </row>
    <row r="75" customFormat="false" ht="15" hidden="false" customHeight="false" outlineLevel="0" collapsed="false">
      <c r="A75" s="13"/>
      <c r="B75" s="13"/>
      <c r="C75" s="13"/>
      <c r="D75" s="14"/>
      <c r="E75" s="14"/>
      <c r="F75" s="15" t="str">
        <f aca="false">IF(OR(E75="",D75=""),"",(E75-D75)/D75)</f>
        <v/>
      </c>
      <c r="G75" s="14"/>
      <c r="H75" s="15" t="str">
        <f aca="false">IF(OR(G75="",D75=""),"",(G75-D75)/D75)</f>
        <v/>
      </c>
      <c r="I75" s="16" t="str">
        <f aca="false">IF(G75="","",IF(SIGN(F75)=SIGN(H75),"적중","실패"))</f>
        <v/>
      </c>
      <c r="J75" s="15" t="str">
        <f aca="false">IF(G75="","",ABS(H75-F75))</f>
        <v/>
      </c>
      <c r="K75" s="14"/>
      <c r="L75" s="15" t="str">
        <f aca="false">IF(OR(K75="",D75=""),"",(K75-D75)/D75)</f>
        <v/>
      </c>
      <c r="M75" s="14"/>
      <c r="N75" s="15" t="str">
        <f aca="false">IF(OR(M75="",D75=""),"",(M75-D75)/D75)</f>
        <v/>
      </c>
      <c r="O75" s="16" t="str">
        <f aca="false">IF(M75="","",IF(SIGN(L75)=SIGN(N75),"적중","실패"))</f>
        <v/>
      </c>
      <c r="P75" s="15" t="str">
        <f aca="false">IF(M75="","",ABS(N75-L75))</f>
        <v/>
      </c>
      <c r="Q75" s="13"/>
    </row>
    <row r="76" customFormat="false" ht="15" hidden="false" customHeight="false" outlineLevel="0" collapsed="false">
      <c r="A76" s="13"/>
      <c r="B76" s="13"/>
      <c r="C76" s="13"/>
      <c r="D76" s="14"/>
      <c r="E76" s="14"/>
      <c r="F76" s="15" t="str">
        <f aca="false">IF(OR(E76="",D76=""),"",(E76-D76)/D76)</f>
        <v/>
      </c>
      <c r="G76" s="14"/>
      <c r="H76" s="15" t="str">
        <f aca="false">IF(OR(G76="",D76=""),"",(G76-D76)/D76)</f>
        <v/>
      </c>
      <c r="I76" s="16" t="str">
        <f aca="false">IF(G76="","",IF(SIGN(F76)=SIGN(H76),"적중","실패"))</f>
        <v/>
      </c>
      <c r="J76" s="15" t="str">
        <f aca="false">IF(G76="","",ABS(H76-F76))</f>
        <v/>
      </c>
      <c r="K76" s="14"/>
      <c r="L76" s="15" t="str">
        <f aca="false">IF(OR(K76="",D76=""),"",(K76-D76)/D76)</f>
        <v/>
      </c>
      <c r="M76" s="14"/>
      <c r="N76" s="15" t="str">
        <f aca="false">IF(OR(M76="",D76=""),"",(M76-D76)/D76)</f>
        <v/>
      </c>
      <c r="O76" s="16" t="str">
        <f aca="false">IF(M76="","",IF(SIGN(L76)=SIGN(N76),"적중","실패"))</f>
        <v/>
      </c>
      <c r="P76" s="15" t="str">
        <f aca="false">IF(M76="","",ABS(N76-L76))</f>
        <v/>
      </c>
      <c r="Q76" s="13"/>
    </row>
    <row r="77" customFormat="false" ht="15" hidden="false" customHeight="false" outlineLevel="0" collapsed="false">
      <c r="A77" s="13"/>
      <c r="B77" s="13"/>
      <c r="C77" s="13"/>
      <c r="D77" s="14"/>
      <c r="E77" s="14"/>
      <c r="F77" s="15" t="str">
        <f aca="false">IF(OR(E77="",D77=""),"",(E77-D77)/D77)</f>
        <v/>
      </c>
      <c r="G77" s="14"/>
      <c r="H77" s="15" t="str">
        <f aca="false">IF(OR(G77="",D77=""),"",(G77-D77)/D77)</f>
        <v/>
      </c>
      <c r="I77" s="16" t="str">
        <f aca="false">IF(G77="","",IF(SIGN(F77)=SIGN(H77),"적중","실패"))</f>
        <v/>
      </c>
      <c r="J77" s="15" t="str">
        <f aca="false">IF(G77="","",ABS(H77-F77))</f>
        <v/>
      </c>
      <c r="K77" s="14"/>
      <c r="L77" s="15" t="str">
        <f aca="false">IF(OR(K77="",D77=""),"",(K77-D77)/D77)</f>
        <v/>
      </c>
      <c r="M77" s="14"/>
      <c r="N77" s="15" t="str">
        <f aca="false">IF(OR(M77="",D77=""),"",(M77-D77)/D77)</f>
        <v/>
      </c>
      <c r="O77" s="16" t="str">
        <f aca="false">IF(M77="","",IF(SIGN(L77)=SIGN(N77),"적중","실패"))</f>
        <v/>
      </c>
      <c r="P77" s="15" t="str">
        <f aca="false">IF(M77="","",ABS(N77-L77))</f>
        <v/>
      </c>
      <c r="Q77" s="13"/>
    </row>
    <row r="78" customFormat="false" ht="15" hidden="false" customHeight="false" outlineLevel="0" collapsed="false">
      <c r="A78" s="13"/>
      <c r="B78" s="13"/>
      <c r="C78" s="13"/>
      <c r="D78" s="14"/>
      <c r="E78" s="14"/>
      <c r="F78" s="15" t="str">
        <f aca="false">IF(OR(E78="",D78=""),"",(E78-D78)/D78)</f>
        <v/>
      </c>
      <c r="G78" s="14"/>
      <c r="H78" s="15" t="str">
        <f aca="false">IF(OR(G78="",D78=""),"",(G78-D78)/D78)</f>
        <v/>
      </c>
      <c r="I78" s="16" t="str">
        <f aca="false">IF(G78="","",IF(SIGN(F78)=SIGN(H78),"적중","실패"))</f>
        <v/>
      </c>
      <c r="J78" s="15" t="str">
        <f aca="false">IF(G78="","",ABS(H78-F78))</f>
        <v/>
      </c>
      <c r="K78" s="14"/>
      <c r="L78" s="15" t="str">
        <f aca="false">IF(OR(K78="",D78=""),"",(K78-D78)/D78)</f>
        <v/>
      </c>
      <c r="M78" s="14"/>
      <c r="N78" s="15" t="str">
        <f aca="false">IF(OR(M78="",D78=""),"",(M78-D78)/D78)</f>
        <v/>
      </c>
      <c r="O78" s="16" t="str">
        <f aca="false">IF(M78="","",IF(SIGN(L78)=SIGN(N78),"적중","실패"))</f>
        <v/>
      </c>
      <c r="P78" s="15" t="str">
        <f aca="false">IF(M78="","",ABS(N78-L78))</f>
        <v/>
      </c>
      <c r="Q78" s="13"/>
    </row>
    <row r="79" customFormat="false" ht="15" hidden="false" customHeight="false" outlineLevel="0" collapsed="false">
      <c r="A79" s="13"/>
      <c r="B79" s="13"/>
      <c r="C79" s="13"/>
      <c r="D79" s="14"/>
      <c r="E79" s="14"/>
      <c r="F79" s="15" t="str">
        <f aca="false">IF(OR(E79="",D79=""),"",(E79-D79)/D79)</f>
        <v/>
      </c>
      <c r="G79" s="14"/>
      <c r="H79" s="15" t="str">
        <f aca="false">IF(OR(G79="",D79=""),"",(G79-D79)/D79)</f>
        <v/>
      </c>
      <c r="I79" s="16" t="str">
        <f aca="false">IF(G79="","",IF(SIGN(F79)=SIGN(H79),"적중","실패"))</f>
        <v/>
      </c>
      <c r="J79" s="15" t="str">
        <f aca="false">IF(G79="","",ABS(H79-F79))</f>
        <v/>
      </c>
      <c r="K79" s="14"/>
      <c r="L79" s="15" t="str">
        <f aca="false">IF(OR(K79="",D79=""),"",(K79-D79)/D79)</f>
        <v/>
      </c>
      <c r="M79" s="14"/>
      <c r="N79" s="15" t="str">
        <f aca="false">IF(OR(M79="",D79=""),"",(M79-D79)/D79)</f>
        <v/>
      </c>
      <c r="O79" s="16" t="str">
        <f aca="false">IF(M79="","",IF(SIGN(L79)=SIGN(N79),"적중","실패"))</f>
        <v/>
      </c>
      <c r="P79" s="15" t="str">
        <f aca="false">IF(M79="","",ABS(N79-L79))</f>
        <v/>
      </c>
      <c r="Q79" s="13"/>
    </row>
    <row r="80" customFormat="false" ht="15" hidden="false" customHeight="false" outlineLevel="0" collapsed="false">
      <c r="A80" s="13"/>
      <c r="B80" s="13"/>
      <c r="C80" s="13"/>
      <c r="D80" s="14"/>
      <c r="E80" s="14"/>
      <c r="F80" s="15" t="str">
        <f aca="false">IF(OR(E80="",D80=""),"",(E80-D80)/D80)</f>
        <v/>
      </c>
      <c r="G80" s="14"/>
      <c r="H80" s="15" t="str">
        <f aca="false">IF(OR(G80="",D80=""),"",(G80-D80)/D80)</f>
        <v/>
      </c>
      <c r="I80" s="16" t="str">
        <f aca="false">IF(G80="","",IF(SIGN(F80)=SIGN(H80),"적중","실패"))</f>
        <v/>
      </c>
      <c r="J80" s="15" t="str">
        <f aca="false">IF(G80="","",ABS(H80-F80))</f>
        <v/>
      </c>
      <c r="K80" s="14"/>
      <c r="L80" s="15" t="str">
        <f aca="false">IF(OR(K80="",D80=""),"",(K80-D80)/D80)</f>
        <v/>
      </c>
      <c r="M80" s="14"/>
      <c r="N80" s="15" t="str">
        <f aca="false">IF(OR(M80="",D80=""),"",(M80-D80)/D80)</f>
        <v/>
      </c>
      <c r="O80" s="16" t="str">
        <f aca="false">IF(M80="","",IF(SIGN(L80)=SIGN(N80),"적중","실패"))</f>
        <v/>
      </c>
      <c r="P80" s="15" t="str">
        <f aca="false">IF(M80="","",ABS(N80-L80))</f>
        <v/>
      </c>
      <c r="Q80" s="13"/>
    </row>
    <row r="81" customFormat="false" ht="15" hidden="false" customHeight="false" outlineLevel="0" collapsed="false">
      <c r="A81" s="13"/>
      <c r="B81" s="13"/>
      <c r="C81" s="13"/>
      <c r="D81" s="14"/>
      <c r="E81" s="14"/>
      <c r="F81" s="15" t="str">
        <f aca="false">IF(OR(E81="",D81=""),"",(E81-D81)/D81)</f>
        <v/>
      </c>
      <c r="G81" s="14"/>
      <c r="H81" s="15" t="str">
        <f aca="false">IF(OR(G81="",D81=""),"",(G81-D81)/D81)</f>
        <v/>
      </c>
      <c r="I81" s="16" t="str">
        <f aca="false">IF(G81="","",IF(SIGN(F81)=SIGN(H81),"적중","실패"))</f>
        <v/>
      </c>
      <c r="J81" s="15" t="str">
        <f aca="false">IF(G81="","",ABS(H81-F81))</f>
        <v/>
      </c>
      <c r="K81" s="14"/>
      <c r="L81" s="15" t="str">
        <f aca="false">IF(OR(K81="",D81=""),"",(K81-D81)/D81)</f>
        <v/>
      </c>
      <c r="M81" s="14"/>
      <c r="N81" s="15" t="str">
        <f aca="false">IF(OR(M81="",D81=""),"",(M81-D81)/D81)</f>
        <v/>
      </c>
      <c r="O81" s="16" t="str">
        <f aca="false">IF(M81="","",IF(SIGN(L81)=SIGN(N81),"적중","실패"))</f>
        <v/>
      </c>
      <c r="P81" s="15" t="str">
        <f aca="false">IF(M81="","",ABS(N81-L81))</f>
        <v/>
      </c>
      <c r="Q81" s="13"/>
    </row>
    <row r="82" customFormat="false" ht="15" hidden="false" customHeight="false" outlineLevel="0" collapsed="false">
      <c r="A82" s="13"/>
      <c r="B82" s="13"/>
      <c r="C82" s="13"/>
      <c r="D82" s="14"/>
      <c r="E82" s="14"/>
      <c r="F82" s="15" t="str">
        <f aca="false">IF(OR(E82="",D82=""),"",(E82-D82)/D82)</f>
        <v/>
      </c>
      <c r="G82" s="14"/>
      <c r="H82" s="15" t="str">
        <f aca="false">IF(OR(G82="",D82=""),"",(G82-D82)/D82)</f>
        <v/>
      </c>
      <c r="I82" s="16" t="str">
        <f aca="false">IF(G82="","",IF(SIGN(F82)=SIGN(H82),"적중","실패"))</f>
        <v/>
      </c>
      <c r="J82" s="15" t="str">
        <f aca="false">IF(G82="","",ABS(H82-F82))</f>
        <v/>
      </c>
      <c r="K82" s="14"/>
      <c r="L82" s="15" t="str">
        <f aca="false">IF(OR(K82="",D82=""),"",(K82-D82)/D82)</f>
        <v/>
      </c>
      <c r="M82" s="14"/>
      <c r="N82" s="15" t="str">
        <f aca="false">IF(OR(M82="",D82=""),"",(M82-D82)/D82)</f>
        <v/>
      </c>
      <c r="O82" s="16" t="str">
        <f aca="false">IF(M82="","",IF(SIGN(L82)=SIGN(N82),"적중","실패"))</f>
        <v/>
      </c>
      <c r="P82" s="15" t="str">
        <f aca="false">IF(M82="","",ABS(N82-L82))</f>
        <v/>
      </c>
      <c r="Q82" s="13"/>
    </row>
    <row r="83" customFormat="false" ht="15" hidden="false" customHeight="false" outlineLevel="0" collapsed="false">
      <c r="A83" s="13"/>
      <c r="B83" s="13"/>
      <c r="C83" s="13"/>
      <c r="D83" s="14"/>
      <c r="E83" s="14"/>
      <c r="F83" s="15" t="str">
        <f aca="false">IF(OR(E83="",D83=""),"",(E83-D83)/D83)</f>
        <v/>
      </c>
      <c r="G83" s="14"/>
      <c r="H83" s="15" t="str">
        <f aca="false">IF(OR(G83="",D83=""),"",(G83-D83)/D83)</f>
        <v/>
      </c>
      <c r="I83" s="16" t="str">
        <f aca="false">IF(G83="","",IF(SIGN(F83)=SIGN(H83),"적중","실패"))</f>
        <v/>
      </c>
      <c r="J83" s="15" t="str">
        <f aca="false">IF(G83="","",ABS(H83-F83))</f>
        <v/>
      </c>
      <c r="K83" s="14"/>
      <c r="L83" s="15" t="str">
        <f aca="false">IF(OR(K83="",D83=""),"",(K83-D83)/D83)</f>
        <v/>
      </c>
      <c r="M83" s="14"/>
      <c r="N83" s="15" t="str">
        <f aca="false">IF(OR(M83="",D83=""),"",(M83-D83)/D83)</f>
        <v/>
      </c>
      <c r="O83" s="16" t="str">
        <f aca="false">IF(M83="","",IF(SIGN(L83)=SIGN(N83),"적중","실패"))</f>
        <v/>
      </c>
      <c r="P83" s="15" t="str">
        <f aca="false">IF(M83="","",ABS(N83-L83))</f>
        <v/>
      </c>
      <c r="Q83" s="13"/>
    </row>
    <row r="84" customFormat="false" ht="15" hidden="false" customHeight="false" outlineLevel="0" collapsed="false">
      <c r="A84" s="13"/>
      <c r="B84" s="13"/>
      <c r="C84" s="13"/>
      <c r="D84" s="14"/>
      <c r="E84" s="14"/>
      <c r="F84" s="15" t="str">
        <f aca="false">IF(OR(E84="",D84=""),"",(E84-D84)/D84)</f>
        <v/>
      </c>
      <c r="G84" s="14"/>
      <c r="H84" s="15" t="str">
        <f aca="false">IF(OR(G84="",D84=""),"",(G84-D84)/D84)</f>
        <v/>
      </c>
      <c r="I84" s="16" t="str">
        <f aca="false">IF(G84="","",IF(SIGN(F84)=SIGN(H84),"적중","실패"))</f>
        <v/>
      </c>
      <c r="J84" s="15" t="str">
        <f aca="false">IF(G84="","",ABS(H84-F84))</f>
        <v/>
      </c>
      <c r="K84" s="14"/>
      <c r="L84" s="15" t="str">
        <f aca="false">IF(OR(K84="",D84=""),"",(K84-D84)/D84)</f>
        <v/>
      </c>
      <c r="M84" s="14"/>
      <c r="N84" s="15" t="str">
        <f aca="false">IF(OR(M84="",D84=""),"",(M84-D84)/D84)</f>
        <v/>
      </c>
      <c r="O84" s="16" t="str">
        <f aca="false">IF(M84="","",IF(SIGN(L84)=SIGN(N84),"적중","실패"))</f>
        <v/>
      </c>
      <c r="P84" s="15" t="str">
        <f aca="false">IF(M84="","",ABS(N84-L84))</f>
        <v/>
      </c>
      <c r="Q84" s="13"/>
    </row>
    <row r="85" customFormat="false" ht="15" hidden="false" customHeight="false" outlineLevel="0" collapsed="false">
      <c r="A85" s="13"/>
      <c r="B85" s="13"/>
      <c r="C85" s="13"/>
      <c r="D85" s="14"/>
      <c r="E85" s="14"/>
      <c r="F85" s="15" t="str">
        <f aca="false">IF(OR(E85="",D85=""),"",(E85-D85)/D85)</f>
        <v/>
      </c>
      <c r="G85" s="14"/>
      <c r="H85" s="15" t="str">
        <f aca="false">IF(OR(G85="",D85=""),"",(G85-D85)/D85)</f>
        <v/>
      </c>
      <c r="I85" s="16" t="str">
        <f aca="false">IF(G85="","",IF(SIGN(F85)=SIGN(H85),"적중","실패"))</f>
        <v/>
      </c>
      <c r="J85" s="15" t="str">
        <f aca="false">IF(G85="","",ABS(H85-F85))</f>
        <v/>
      </c>
      <c r="K85" s="14"/>
      <c r="L85" s="15" t="str">
        <f aca="false">IF(OR(K85="",D85=""),"",(K85-D85)/D85)</f>
        <v/>
      </c>
      <c r="M85" s="14"/>
      <c r="N85" s="15" t="str">
        <f aca="false">IF(OR(M85="",D85=""),"",(M85-D85)/D85)</f>
        <v/>
      </c>
      <c r="O85" s="16" t="str">
        <f aca="false">IF(M85="","",IF(SIGN(L85)=SIGN(N85),"적중","실패"))</f>
        <v/>
      </c>
      <c r="P85" s="15" t="str">
        <f aca="false">IF(M85="","",ABS(N85-L85))</f>
        <v/>
      </c>
      <c r="Q85" s="13"/>
    </row>
    <row r="86" customFormat="false" ht="15" hidden="false" customHeight="false" outlineLevel="0" collapsed="false">
      <c r="A86" s="13"/>
      <c r="B86" s="13"/>
      <c r="C86" s="13"/>
      <c r="D86" s="14"/>
      <c r="E86" s="14"/>
      <c r="F86" s="15" t="str">
        <f aca="false">IF(OR(E86="",D86=""),"",(E86-D86)/D86)</f>
        <v/>
      </c>
      <c r="G86" s="14"/>
      <c r="H86" s="15" t="str">
        <f aca="false">IF(OR(G86="",D86=""),"",(G86-D86)/D86)</f>
        <v/>
      </c>
      <c r="I86" s="16" t="str">
        <f aca="false">IF(G86="","",IF(SIGN(F86)=SIGN(H86),"적중","실패"))</f>
        <v/>
      </c>
      <c r="J86" s="15" t="str">
        <f aca="false">IF(G86="","",ABS(H86-F86))</f>
        <v/>
      </c>
      <c r="K86" s="14"/>
      <c r="L86" s="15" t="str">
        <f aca="false">IF(OR(K86="",D86=""),"",(K86-D86)/D86)</f>
        <v/>
      </c>
      <c r="M86" s="14"/>
      <c r="N86" s="15" t="str">
        <f aca="false">IF(OR(M86="",D86=""),"",(M86-D86)/D86)</f>
        <v/>
      </c>
      <c r="O86" s="16" t="str">
        <f aca="false">IF(M86="","",IF(SIGN(L86)=SIGN(N86),"적중","실패"))</f>
        <v/>
      </c>
      <c r="P86" s="15" t="str">
        <f aca="false">IF(M86="","",ABS(N86-L86))</f>
        <v/>
      </c>
      <c r="Q86" s="13"/>
    </row>
    <row r="87" customFormat="false" ht="15" hidden="false" customHeight="false" outlineLevel="0" collapsed="false">
      <c r="A87" s="13"/>
      <c r="B87" s="13"/>
      <c r="C87" s="13"/>
      <c r="D87" s="14"/>
      <c r="E87" s="14"/>
      <c r="F87" s="15" t="str">
        <f aca="false">IF(OR(E87="",D87=""),"",(E87-D87)/D87)</f>
        <v/>
      </c>
      <c r="G87" s="14"/>
      <c r="H87" s="15" t="str">
        <f aca="false">IF(OR(G87="",D87=""),"",(G87-D87)/D87)</f>
        <v/>
      </c>
      <c r="I87" s="16" t="str">
        <f aca="false">IF(G87="","",IF(SIGN(F87)=SIGN(H87),"적중","실패"))</f>
        <v/>
      </c>
      <c r="J87" s="15" t="str">
        <f aca="false">IF(G87="","",ABS(H87-F87))</f>
        <v/>
      </c>
      <c r="K87" s="14"/>
      <c r="L87" s="15" t="str">
        <f aca="false">IF(OR(K87="",D87=""),"",(K87-D87)/D87)</f>
        <v/>
      </c>
      <c r="M87" s="14"/>
      <c r="N87" s="15" t="str">
        <f aca="false">IF(OR(M87="",D87=""),"",(M87-D87)/D87)</f>
        <v/>
      </c>
      <c r="O87" s="16" t="str">
        <f aca="false">IF(M87="","",IF(SIGN(L87)=SIGN(N87),"적중","실패"))</f>
        <v/>
      </c>
      <c r="P87" s="15" t="str">
        <f aca="false">IF(M87="","",ABS(N87-L87))</f>
        <v/>
      </c>
      <c r="Q87" s="13"/>
    </row>
    <row r="88" customFormat="false" ht="15" hidden="false" customHeight="false" outlineLevel="0" collapsed="false">
      <c r="A88" s="13"/>
      <c r="B88" s="13"/>
      <c r="C88" s="13"/>
      <c r="D88" s="14"/>
      <c r="E88" s="14"/>
      <c r="F88" s="15" t="str">
        <f aca="false">IF(OR(E88="",D88=""),"",(E88-D88)/D88)</f>
        <v/>
      </c>
      <c r="G88" s="14"/>
      <c r="H88" s="15" t="str">
        <f aca="false">IF(OR(G88="",D88=""),"",(G88-D88)/D88)</f>
        <v/>
      </c>
      <c r="I88" s="16" t="str">
        <f aca="false">IF(G88="","",IF(SIGN(F88)=SIGN(H88),"적중","실패"))</f>
        <v/>
      </c>
      <c r="J88" s="15" t="str">
        <f aca="false">IF(G88="","",ABS(H88-F88))</f>
        <v/>
      </c>
      <c r="K88" s="14"/>
      <c r="L88" s="15" t="str">
        <f aca="false">IF(OR(K88="",D88=""),"",(K88-D88)/D88)</f>
        <v/>
      </c>
      <c r="M88" s="14"/>
      <c r="N88" s="15" t="str">
        <f aca="false">IF(OR(M88="",D88=""),"",(M88-D88)/D88)</f>
        <v/>
      </c>
      <c r="O88" s="16" t="str">
        <f aca="false">IF(M88="","",IF(SIGN(L88)=SIGN(N88),"적중","실패"))</f>
        <v/>
      </c>
      <c r="P88" s="15" t="str">
        <f aca="false">IF(M88="","",ABS(N88-L88))</f>
        <v/>
      </c>
      <c r="Q88" s="13"/>
    </row>
    <row r="89" customFormat="false" ht="15" hidden="false" customHeight="false" outlineLevel="0" collapsed="false">
      <c r="A89" s="13"/>
      <c r="B89" s="13"/>
      <c r="C89" s="13"/>
      <c r="D89" s="14"/>
      <c r="E89" s="14"/>
      <c r="F89" s="15" t="str">
        <f aca="false">IF(OR(E89="",D89=""),"",(E89-D89)/D89)</f>
        <v/>
      </c>
      <c r="G89" s="14"/>
      <c r="H89" s="15" t="str">
        <f aca="false">IF(OR(G89="",D89=""),"",(G89-D89)/D89)</f>
        <v/>
      </c>
      <c r="I89" s="16" t="str">
        <f aca="false">IF(G89="","",IF(SIGN(F89)=SIGN(H89),"적중","실패"))</f>
        <v/>
      </c>
      <c r="J89" s="15" t="str">
        <f aca="false">IF(G89="","",ABS(H89-F89))</f>
        <v/>
      </c>
      <c r="K89" s="14"/>
      <c r="L89" s="15" t="str">
        <f aca="false">IF(OR(K89="",D89=""),"",(K89-D89)/D89)</f>
        <v/>
      </c>
      <c r="M89" s="14"/>
      <c r="N89" s="15" t="str">
        <f aca="false">IF(OR(M89="",D89=""),"",(M89-D89)/D89)</f>
        <v/>
      </c>
      <c r="O89" s="16" t="str">
        <f aca="false">IF(M89="","",IF(SIGN(L89)=SIGN(N89),"적중","실패"))</f>
        <v/>
      </c>
      <c r="P89" s="15" t="str">
        <f aca="false">IF(M89="","",ABS(N89-L89))</f>
        <v/>
      </c>
      <c r="Q89" s="13"/>
    </row>
    <row r="90" customFormat="false" ht="15" hidden="false" customHeight="false" outlineLevel="0" collapsed="false">
      <c r="A90" s="13"/>
      <c r="B90" s="13"/>
      <c r="C90" s="13"/>
      <c r="D90" s="14"/>
      <c r="E90" s="14"/>
      <c r="F90" s="15" t="str">
        <f aca="false">IF(OR(E90="",D90=""),"",(E90-D90)/D90)</f>
        <v/>
      </c>
      <c r="G90" s="14"/>
      <c r="H90" s="15" t="str">
        <f aca="false">IF(OR(G90="",D90=""),"",(G90-D90)/D90)</f>
        <v/>
      </c>
      <c r="I90" s="16" t="str">
        <f aca="false">IF(G90="","",IF(SIGN(F90)=SIGN(H90),"적중","실패"))</f>
        <v/>
      </c>
      <c r="J90" s="15" t="str">
        <f aca="false">IF(G90="","",ABS(H90-F90))</f>
        <v/>
      </c>
      <c r="K90" s="14"/>
      <c r="L90" s="15" t="str">
        <f aca="false">IF(OR(K90="",D90=""),"",(K90-D90)/D90)</f>
        <v/>
      </c>
      <c r="M90" s="14"/>
      <c r="N90" s="15" t="str">
        <f aca="false">IF(OR(M90="",D90=""),"",(M90-D90)/D90)</f>
        <v/>
      </c>
      <c r="O90" s="16" t="str">
        <f aca="false">IF(M90="","",IF(SIGN(L90)=SIGN(N90),"적중","실패"))</f>
        <v/>
      </c>
      <c r="P90" s="15" t="str">
        <f aca="false">IF(M90="","",ABS(N90-L90))</f>
        <v/>
      </c>
      <c r="Q90" s="13"/>
    </row>
    <row r="91" customFormat="false" ht="15" hidden="false" customHeight="false" outlineLevel="0" collapsed="false">
      <c r="A91" s="13"/>
      <c r="B91" s="13"/>
      <c r="C91" s="13"/>
      <c r="D91" s="14"/>
      <c r="E91" s="14"/>
      <c r="F91" s="15" t="str">
        <f aca="false">IF(OR(E91="",D91=""),"",(E91-D91)/D91)</f>
        <v/>
      </c>
      <c r="G91" s="14"/>
      <c r="H91" s="15" t="str">
        <f aca="false">IF(OR(G91="",D91=""),"",(G91-D91)/D91)</f>
        <v/>
      </c>
      <c r="I91" s="16" t="str">
        <f aca="false">IF(G91="","",IF(SIGN(F91)=SIGN(H91),"적중","실패"))</f>
        <v/>
      </c>
      <c r="J91" s="15" t="str">
        <f aca="false">IF(G91="","",ABS(H91-F91))</f>
        <v/>
      </c>
      <c r="K91" s="14"/>
      <c r="L91" s="15" t="str">
        <f aca="false">IF(OR(K91="",D91=""),"",(K91-D91)/D91)</f>
        <v/>
      </c>
      <c r="M91" s="14"/>
      <c r="N91" s="15" t="str">
        <f aca="false">IF(OR(M91="",D91=""),"",(M91-D91)/D91)</f>
        <v/>
      </c>
      <c r="O91" s="16" t="str">
        <f aca="false">IF(M91="","",IF(SIGN(L91)=SIGN(N91),"적중","실패"))</f>
        <v/>
      </c>
      <c r="P91" s="15" t="str">
        <f aca="false">IF(M91="","",ABS(N91-L91))</f>
        <v/>
      </c>
      <c r="Q91" s="13"/>
    </row>
    <row r="92" customFormat="false" ht="15" hidden="false" customHeight="false" outlineLevel="0" collapsed="false">
      <c r="A92" s="13"/>
      <c r="B92" s="13"/>
      <c r="C92" s="13"/>
      <c r="D92" s="14"/>
      <c r="E92" s="14"/>
      <c r="F92" s="15" t="str">
        <f aca="false">IF(OR(E92="",D92=""),"",(E92-D92)/D92)</f>
        <v/>
      </c>
      <c r="G92" s="14"/>
      <c r="H92" s="15" t="str">
        <f aca="false">IF(OR(G92="",D92=""),"",(G92-D92)/D92)</f>
        <v/>
      </c>
      <c r="I92" s="16" t="str">
        <f aca="false">IF(G92="","",IF(SIGN(F92)=SIGN(H92),"적중","실패"))</f>
        <v/>
      </c>
      <c r="J92" s="15" t="str">
        <f aca="false">IF(G92="","",ABS(H92-F92))</f>
        <v/>
      </c>
      <c r="K92" s="14"/>
      <c r="L92" s="15" t="str">
        <f aca="false">IF(OR(K92="",D92=""),"",(K92-D92)/D92)</f>
        <v/>
      </c>
      <c r="M92" s="14"/>
      <c r="N92" s="15" t="str">
        <f aca="false">IF(OR(M92="",D92=""),"",(M92-D92)/D92)</f>
        <v/>
      </c>
      <c r="O92" s="16" t="str">
        <f aca="false">IF(M92="","",IF(SIGN(L92)=SIGN(N92),"적중","실패"))</f>
        <v/>
      </c>
      <c r="P92" s="15" t="str">
        <f aca="false">IF(M92="","",ABS(N92-L92))</f>
        <v/>
      </c>
      <c r="Q92" s="13"/>
    </row>
    <row r="93" customFormat="false" ht="15" hidden="false" customHeight="false" outlineLevel="0" collapsed="false">
      <c r="A93" s="13"/>
      <c r="B93" s="13"/>
      <c r="C93" s="13"/>
      <c r="D93" s="14"/>
      <c r="E93" s="14"/>
      <c r="F93" s="15" t="str">
        <f aca="false">IF(OR(E93="",D93=""),"",(E93-D93)/D93)</f>
        <v/>
      </c>
      <c r="G93" s="14"/>
      <c r="H93" s="15" t="str">
        <f aca="false">IF(OR(G93="",D93=""),"",(G93-D93)/D93)</f>
        <v/>
      </c>
      <c r="I93" s="16" t="str">
        <f aca="false">IF(G93="","",IF(SIGN(F93)=SIGN(H93),"적중","실패"))</f>
        <v/>
      </c>
      <c r="J93" s="15" t="str">
        <f aca="false">IF(G93="","",ABS(H93-F93))</f>
        <v/>
      </c>
      <c r="K93" s="14"/>
      <c r="L93" s="15" t="str">
        <f aca="false">IF(OR(K93="",D93=""),"",(K93-D93)/D93)</f>
        <v/>
      </c>
      <c r="M93" s="14"/>
      <c r="N93" s="15" t="str">
        <f aca="false">IF(OR(M93="",D93=""),"",(M93-D93)/D93)</f>
        <v/>
      </c>
      <c r="O93" s="16" t="str">
        <f aca="false">IF(M93="","",IF(SIGN(L93)=SIGN(N93),"적중","실패"))</f>
        <v/>
      </c>
      <c r="P93" s="15" t="str">
        <f aca="false">IF(M93="","",ABS(N93-L93))</f>
        <v/>
      </c>
      <c r="Q93" s="13"/>
    </row>
    <row r="94" customFormat="false" ht="15" hidden="false" customHeight="false" outlineLevel="0" collapsed="false">
      <c r="A94" s="13"/>
      <c r="B94" s="13"/>
      <c r="C94" s="13"/>
      <c r="D94" s="14"/>
      <c r="E94" s="14"/>
      <c r="F94" s="15" t="str">
        <f aca="false">IF(OR(E94="",D94=""),"",(E94-D94)/D94)</f>
        <v/>
      </c>
      <c r="G94" s="14"/>
      <c r="H94" s="15" t="str">
        <f aca="false">IF(OR(G94="",D94=""),"",(G94-D94)/D94)</f>
        <v/>
      </c>
      <c r="I94" s="16" t="str">
        <f aca="false">IF(G94="","",IF(SIGN(F94)=SIGN(H94),"적중","실패"))</f>
        <v/>
      </c>
      <c r="J94" s="15" t="str">
        <f aca="false">IF(G94="","",ABS(H94-F94))</f>
        <v/>
      </c>
      <c r="K94" s="14"/>
      <c r="L94" s="15" t="str">
        <f aca="false">IF(OR(K94="",D94=""),"",(K94-D94)/D94)</f>
        <v/>
      </c>
      <c r="M94" s="14"/>
      <c r="N94" s="15" t="str">
        <f aca="false">IF(OR(M94="",D94=""),"",(M94-D94)/D94)</f>
        <v/>
      </c>
      <c r="O94" s="16" t="str">
        <f aca="false">IF(M94="","",IF(SIGN(L94)=SIGN(N94),"적중","실패"))</f>
        <v/>
      </c>
      <c r="P94" s="15" t="str">
        <f aca="false">IF(M94="","",ABS(N94-L94))</f>
        <v/>
      </c>
      <c r="Q94" s="13"/>
    </row>
    <row r="95" customFormat="false" ht="15" hidden="false" customHeight="false" outlineLevel="0" collapsed="false">
      <c r="A95" s="13"/>
      <c r="B95" s="13"/>
      <c r="C95" s="13"/>
      <c r="D95" s="14"/>
      <c r="E95" s="14"/>
      <c r="F95" s="15" t="str">
        <f aca="false">IF(OR(E95="",D95=""),"",(E95-D95)/D95)</f>
        <v/>
      </c>
      <c r="G95" s="14"/>
      <c r="H95" s="15" t="str">
        <f aca="false">IF(OR(G95="",D95=""),"",(G95-D95)/D95)</f>
        <v/>
      </c>
      <c r="I95" s="16" t="str">
        <f aca="false">IF(G95="","",IF(SIGN(F95)=SIGN(H95),"적중","실패"))</f>
        <v/>
      </c>
      <c r="J95" s="15" t="str">
        <f aca="false">IF(G95="","",ABS(H95-F95))</f>
        <v/>
      </c>
      <c r="K95" s="14"/>
      <c r="L95" s="15" t="str">
        <f aca="false">IF(OR(K95="",D95=""),"",(K95-D95)/D95)</f>
        <v/>
      </c>
      <c r="M95" s="14"/>
      <c r="N95" s="15" t="str">
        <f aca="false">IF(OR(M95="",D95=""),"",(M95-D95)/D95)</f>
        <v/>
      </c>
      <c r="O95" s="16" t="str">
        <f aca="false">IF(M95="","",IF(SIGN(L95)=SIGN(N95),"적중","실패"))</f>
        <v/>
      </c>
      <c r="P95" s="15" t="str">
        <f aca="false">IF(M95="","",ABS(N95-L95))</f>
        <v/>
      </c>
      <c r="Q95" s="13"/>
    </row>
    <row r="96" customFormat="false" ht="15" hidden="false" customHeight="false" outlineLevel="0" collapsed="false">
      <c r="A96" s="13"/>
      <c r="B96" s="13"/>
      <c r="C96" s="13"/>
      <c r="D96" s="14"/>
      <c r="E96" s="14"/>
      <c r="F96" s="15" t="str">
        <f aca="false">IF(OR(E96="",D96=""),"",(E96-D96)/D96)</f>
        <v/>
      </c>
      <c r="G96" s="14"/>
      <c r="H96" s="15" t="str">
        <f aca="false">IF(OR(G96="",D96=""),"",(G96-D96)/D96)</f>
        <v/>
      </c>
      <c r="I96" s="16" t="str">
        <f aca="false">IF(G96="","",IF(SIGN(F96)=SIGN(H96),"적중","실패"))</f>
        <v/>
      </c>
      <c r="J96" s="15" t="str">
        <f aca="false">IF(G96="","",ABS(H96-F96))</f>
        <v/>
      </c>
      <c r="K96" s="14"/>
      <c r="L96" s="15" t="str">
        <f aca="false">IF(OR(K96="",D96=""),"",(K96-D96)/D96)</f>
        <v/>
      </c>
      <c r="M96" s="14"/>
      <c r="N96" s="15" t="str">
        <f aca="false">IF(OR(M96="",D96=""),"",(M96-D96)/D96)</f>
        <v/>
      </c>
      <c r="O96" s="16" t="str">
        <f aca="false">IF(M96="","",IF(SIGN(L96)=SIGN(N96),"적중","실패"))</f>
        <v/>
      </c>
      <c r="P96" s="15" t="str">
        <f aca="false">IF(M96="","",ABS(N96-L96))</f>
        <v/>
      </c>
      <c r="Q96" s="13"/>
    </row>
    <row r="97" customFormat="false" ht="15" hidden="false" customHeight="false" outlineLevel="0" collapsed="false">
      <c r="A97" s="13"/>
      <c r="B97" s="13"/>
      <c r="C97" s="13"/>
      <c r="D97" s="14"/>
      <c r="E97" s="14"/>
      <c r="F97" s="15" t="str">
        <f aca="false">IF(OR(E97="",D97=""),"",(E97-D97)/D97)</f>
        <v/>
      </c>
      <c r="G97" s="14"/>
      <c r="H97" s="15" t="str">
        <f aca="false">IF(OR(G97="",D97=""),"",(G97-D97)/D97)</f>
        <v/>
      </c>
      <c r="I97" s="16" t="str">
        <f aca="false">IF(G97="","",IF(SIGN(F97)=SIGN(H97),"적중","실패"))</f>
        <v/>
      </c>
      <c r="J97" s="15" t="str">
        <f aca="false">IF(G97="","",ABS(H97-F97))</f>
        <v/>
      </c>
      <c r="K97" s="14"/>
      <c r="L97" s="15" t="str">
        <f aca="false">IF(OR(K97="",D97=""),"",(K97-D97)/D97)</f>
        <v/>
      </c>
      <c r="M97" s="14"/>
      <c r="N97" s="15" t="str">
        <f aca="false">IF(OR(M97="",D97=""),"",(M97-D97)/D97)</f>
        <v/>
      </c>
      <c r="O97" s="16" t="str">
        <f aca="false">IF(M97="","",IF(SIGN(L97)=SIGN(N97),"적중","실패"))</f>
        <v/>
      </c>
      <c r="P97" s="15" t="str">
        <f aca="false">IF(M97="","",ABS(N97-L97))</f>
        <v/>
      </c>
      <c r="Q97" s="13"/>
    </row>
    <row r="98" customFormat="false" ht="15" hidden="false" customHeight="false" outlineLevel="0" collapsed="false">
      <c r="A98" s="13"/>
      <c r="B98" s="13"/>
      <c r="C98" s="13"/>
      <c r="D98" s="14"/>
      <c r="E98" s="14"/>
      <c r="F98" s="15" t="str">
        <f aca="false">IF(OR(E98="",D98=""),"",(E98-D98)/D98)</f>
        <v/>
      </c>
      <c r="G98" s="14"/>
      <c r="H98" s="15" t="str">
        <f aca="false">IF(OR(G98="",D98=""),"",(G98-D98)/D98)</f>
        <v/>
      </c>
      <c r="I98" s="16" t="str">
        <f aca="false">IF(G98="","",IF(SIGN(F98)=SIGN(H98),"적중","실패"))</f>
        <v/>
      </c>
      <c r="J98" s="15" t="str">
        <f aca="false">IF(G98="","",ABS(H98-F98))</f>
        <v/>
      </c>
      <c r="K98" s="14"/>
      <c r="L98" s="15" t="str">
        <f aca="false">IF(OR(K98="",D98=""),"",(K98-D98)/D98)</f>
        <v/>
      </c>
      <c r="M98" s="14"/>
      <c r="N98" s="15" t="str">
        <f aca="false">IF(OR(M98="",D98=""),"",(M98-D98)/D98)</f>
        <v/>
      </c>
      <c r="O98" s="16" t="str">
        <f aca="false">IF(M98="","",IF(SIGN(L98)=SIGN(N98),"적중","실패"))</f>
        <v/>
      </c>
      <c r="P98" s="15" t="str">
        <f aca="false">IF(M98="","",ABS(N98-L98))</f>
        <v/>
      </c>
      <c r="Q98" s="13"/>
    </row>
    <row r="99" customFormat="false" ht="15" hidden="false" customHeight="false" outlineLevel="0" collapsed="false">
      <c r="A99" s="13"/>
      <c r="B99" s="13"/>
      <c r="C99" s="13"/>
      <c r="D99" s="14"/>
      <c r="E99" s="14"/>
      <c r="F99" s="15" t="str">
        <f aca="false">IF(OR(E99="",D99=""),"",(E99-D99)/D99)</f>
        <v/>
      </c>
      <c r="G99" s="14"/>
      <c r="H99" s="15" t="str">
        <f aca="false">IF(OR(G99="",D99=""),"",(G99-D99)/D99)</f>
        <v/>
      </c>
      <c r="I99" s="16" t="str">
        <f aca="false">IF(G99="","",IF(SIGN(F99)=SIGN(H99),"적중","실패"))</f>
        <v/>
      </c>
      <c r="J99" s="15" t="str">
        <f aca="false">IF(G99="","",ABS(H99-F99))</f>
        <v/>
      </c>
      <c r="K99" s="14"/>
      <c r="L99" s="15" t="str">
        <f aca="false">IF(OR(K99="",D99=""),"",(K99-D99)/D99)</f>
        <v/>
      </c>
      <c r="M99" s="14"/>
      <c r="N99" s="15" t="str">
        <f aca="false">IF(OR(M99="",D99=""),"",(M99-D99)/D99)</f>
        <v/>
      </c>
      <c r="O99" s="16" t="str">
        <f aca="false">IF(M99="","",IF(SIGN(L99)=SIGN(N99),"적중","실패"))</f>
        <v/>
      </c>
      <c r="P99" s="15" t="str">
        <f aca="false">IF(M99="","",ABS(N99-L99))</f>
        <v/>
      </c>
      <c r="Q99" s="13"/>
    </row>
    <row r="100" customFormat="false" ht="15" hidden="false" customHeight="false" outlineLevel="0" collapsed="false">
      <c r="A100" s="13"/>
      <c r="B100" s="13"/>
      <c r="C100" s="13"/>
      <c r="D100" s="14"/>
      <c r="E100" s="14"/>
      <c r="F100" s="15" t="str">
        <f aca="false">IF(OR(E100="",D100=""),"",(E100-D100)/D100)</f>
        <v/>
      </c>
      <c r="G100" s="14"/>
      <c r="H100" s="15" t="str">
        <f aca="false">IF(OR(G100="",D100=""),"",(G100-D100)/D100)</f>
        <v/>
      </c>
      <c r="I100" s="16" t="str">
        <f aca="false">IF(G100="","",IF(SIGN(F100)=SIGN(H100),"적중","실패"))</f>
        <v/>
      </c>
      <c r="J100" s="15" t="str">
        <f aca="false">IF(G100="","",ABS(H100-F100))</f>
        <v/>
      </c>
      <c r="K100" s="14"/>
      <c r="L100" s="15" t="str">
        <f aca="false">IF(OR(K100="",D100=""),"",(K100-D100)/D100)</f>
        <v/>
      </c>
      <c r="M100" s="14"/>
      <c r="N100" s="15" t="str">
        <f aca="false">IF(OR(M100="",D100=""),"",(M100-D100)/D100)</f>
        <v/>
      </c>
      <c r="O100" s="16" t="str">
        <f aca="false">IF(M100="","",IF(SIGN(L100)=SIGN(N100),"적중","실패"))</f>
        <v/>
      </c>
      <c r="P100" s="15" t="str">
        <f aca="false">IF(M100="","",ABS(N100-L100))</f>
        <v/>
      </c>
      <c r="Q100" s="13"/>
    </row>
    <row r="101" customFormat="false" ht="15" hidden="false" customHeight="false" outlineLevel="0" collapsed="false">
      <c r="A101" s="13"/>
      <c r="B101" s="13"/>
      <c r="C101" s="13"/>
      <c r="D101" s="14"/>
      <c r="E101" s="14"/>
      <c r="F101" s="15" t="str">
        <f aca="false">IF(OR(E101="",D101=""),"",(E101-D101)/D101)</f>
        <v/>
      </c>
      <c r="G101" s="14"/>
      <c r="H101" s="15" t="str">
        <f aca="false">IF(OR(G101="",D101=""),"",(G101-D101)/D101)</f>
        <v/>
      </c>
      <c r="I101" s="16" t="str">
        <f aca="false">IF(G101="","",IF(SIGN(F101)=SIGN(H101),"적중","실패"))</f>
        <v/>
      </c>
      <c r="J101" s="15" t="str">
        <f aca="false">IF(G101="","",ABS(H101-F101))</f>
        <v/>
      </c>
      <c r="K101" s="14"/>
      <c r="L101" s="15" t="str">
        <f aca="false">IF(OR(K101="",D101=""),"",(K101-D101)/D101)</f>
        <v/>
      </c>
      <c r="M101" s="14"/>
      <c r="N101" s="15" t="str">
        <f aca="false">IF(OR(M101="",D101=""),"",(M101-D101)/D101)</f>
        <v/>
      </c>
      <c r="O101" s="16" t="str">
        <f aca="false">IF(M101="","",IF(SIGN(L101)=SIGN(N101),"적중","실패"))</f>
        <v/>
      </c>
      <c r="P101" s="15" t="str">
        <f aca="false">IF(M101="","",ABS(N101-L101))</f>
        <v/>
      </c>
      <c r="Q101" s="13"/>
    </row>
    <row r="102" customFormat="false" ht="15" hidden="false" customHeight="false" outlineLevel="0" collapsed="false">
      <c r="A102" s="13"/>
      <c r="B102" s="13"/>
      <c r="C102" s="13"/>
      <c r="D102" s="14"/>
      <c r="E102" s="14"/>
      <c r="F102" s="15" t="str">
        <f aca="false">IF(OR(E102="",D102=""),"",(E102-D102)/D102)</f>
        <v/>
      </c>
      <c r="G102" s="14"/>
      <c r="H102" s="15" t="str">
        <f aca="false">IF(OR(G102="",D102=""),"",(G102-D102)/D102)</f>
        <v/>
      </c>
      <c r="I102" s="16" t="str">
        <f aca="false">IF(G102="","",IF(SIGN(F102)=SIGN(H102),"적중","실패"))</f>
        <v/>
      </c>
      <c r="J102" s="15" t="str">
        <f aca="false">IF(G102="","",ABS(H102-F102))</f>
        <v/>
      </c>
      <c r="K102" s="14"/>
      <c r="L102" s="15" t="str">
        <f aca="false">IF(OR(K102="",D102=""),"",(K102-D102)/D102)</f>
        <v/>
      </c>
      <c r="M102" s="14"/>
      <c r="N102" s="15" t="str">
        <f aca="false">IF(OR(M102="",D102=""),"",(M102-D102)/D102)</f>
        <v/>
      </c>
      <c r="O102" s="16" t="str">
        <f aca="false">IF(M102="","",IF(SIGN(L102)=SIGN(N102),"적중","실패"))</f>
        <v/>
      </c>
      <c r="P102" s="15" t="str">
        <f aca="false">IF(M102="","",ABS(N102-L102))</f>
        <v/>
      </c>
      <c r="Q102" s="13"/>
    </row>
    <row r="103" customFormat="false" ht="15" hidden="false" customHeight="false" outlineLevel="0" collapsed="false">
      <c r="A103" s="13"/>
      <c r="B103" s="13"/>
      <c r="C103" s="13"/>
      <c r="D103" s="14"/>
      <c r="E103" s="14"/>
      <c r="F103" s="15" t="str">
        <f aca="false">IF(OR(E103="",D103=""),"",(E103-D103)/D103)</f>
        <v/>
      </c>
      <c r="G103" s="14"/>
      <c r="H103" s="15" t="str">
        <f aca="false">IF(OR(G103="",D103=""),"",(G103-D103)/D103)</f>
        <v/>
      </c>
      <c r="I103" s="16" t="str">
        <f aca="false">IF(G103="","",IF(SIGN(F103)=SIGN(H103),"적중","실패"))</f>
        <v/>
      </c>
      <c r="J103" s="15" t="str">
        <f aca="false">IF(G103="","",ABS(H103-F103))</f>
        <v/>
      </c>
      <c r="K103" s="14"/>
      <c r="L103" s="15" t="str">
        <f aca="false">IF(OR(K103="",D103=""),"",(K103-D103)/D103)</f>
        <v/>
      </c>
      <c r="M103" s="14"/>
      <c r="N103" s="15" t="str">
        <f aca="false">IF(OR(M103="",D103=""),"",(M103-D103)/D103)</f>
        <v/>
      </c>
      <c r="O103" s="16" t="str">
        <f aca="false">IF(M103="","",IF(SIGN(L103)=SIGN(N103),"적중","실패"))</f>
        <v/>
      </c>
      <c r="P103" s="15" t="str">
        <f aca="false">IF(M103="","",ABS(N103-L103))</f>
        <v/>
      </c>
      <c r="Q103" s="13"/>
    </row>
    <row r="104" customFormat="false" ht="15" hidden="false" customHeight="false" outlineLevel="0" collapsed="false">
      <c r="A104" s="13"/>
      <c r="B104" s="13"/>
      <c r="C104" s="13"/>
      <c r="D104" s="14"/>
      <c r="E104" s="14"/>
      <c r="F104" s="15" t="str">
        <f aca="false">IF(OR(E104="",D104=""),"",(E104-D104)/D104)</f>
        <v/>
      </c>
      <c r="G104" s="14"/>
      <c r="H104" s="15" t="str">
        <f aca="false">IF(OR(G104="",D104=""),"",(G104-D104)/D104)</f>
        <v/>
      </c>
      <c r="I104" s="16" t="str">
        <f aca="false">IF(G104="","",IF(SIGN(F104)=SIGN(H104),"적중","실패"))</f>
        <v/>
      </c>
      <c r="J104" s="15" t="str">
        <f aca="false">IF(G104="","",ABS(H104-F104))</f>
        <v/>
      </c>
      <c r="K104" s="14"/>
      <c r="L104" s="15" t="str">
        <f aca="false">IF(OR(K104="",D104=""),"",(K104-D104)/D104)</f>
        <v/>
      </c>
      <c r="M104" s="14"/>
      <c r="N104" s="15" t="str">
        <f aca="false">IF(OR(M104="",D104=""),"",(M104-D104)/D104)</f>
        <v/>
      </c>
      <c r="O104" s="16" t="str">
        <f aca="false">IF(M104="","",IF(SIGN(L104)=SIGN(N104),"적중","실패"))</f>
        <v/>
      </c>
      <c r="P104" s="15" t="str">
        <f aca="false">IF(M104="","",ABS(N104-L104))</f>
        <v/>
      </c>
      <c r="Q104" s="13"/>
    </row>
    <row r="105" customFormat="false" ht="15" hidden="false" customHeight="false" outlineLevel="0" collapsed="false">
      <c r="A105" s="13"/>
      <c r="B105" s="13"/>
      <c r="C105" s="13"/>
      <c r="D105" s="14"/>
      <c r="E105" s="14"/>
      <c r="F105" s="15" t="str">
        <f aca="false">IF(OR(E105="",D105=""),"",(E105-D105)/D105)</f>
        <v/>
      </c>
      <c r="G105" s="14"/>
      <c r="H105" s="15" t="str">
        <f aca="false">IF(OR(G105="",D105=""),"",(G105-D105)/D105)</f>
        <v/>
      </c>
      <c r="I105" s="16" t="str">
        <f aca="false">IF(G105="","",IF(SIGN(F105)=SIGN(H105),"적중","실패"))</f>
        <v/>
      </c>
      <c r="J105" s="15" t="str">
        <f aca="false">IF(G105="","",ABS(H105-F105))</f>
        <v/>
      </c>
      <c r="K105" s="14"/>
      <c r="L105" s="15" t="str">
        <f aca="false">IF(OR(K105="",D105=""),"",(K105-D105)/D105)</f>
        <v/>
      </c>
      <c r="M105" s="14"/>
      <c r="N105" s="15" t="str">
        <f aca="false">IF(OR(M105="",D105=""),"",(M105-D105)/D105)</f>
        <v/>
      </c>
      <c r="O105" s="16" t="str">
        <f aca="false">IF(M105="","",IF(SIGN(L105)=SIGN(N105),"적중","실패"))</f>
        <v/>
      </c>
      <c r="P105" s="15" t="str">
        <f aca="false">IF(M105="","",ABS(N105-L105))</f>
        <v/>
      </c>
      <c r="Q105" s="13"/>
    </row>
    <row r="106" customFormat="false" ht="15" hidden="false" customHeight="false" outlineLevel="0" collapsed="false">
      <c r="A106" s="13"/>
      <c r="B106" s="13"/>
      <c r="C106" s="13"/>
      <c r="D106" s="14"/>
      <c r="E106" s="14"/>
      <c r="F106" s="15" t="str">
        <f aca="false">IF(OR(E106="",D106=""),"",(E106-D106)/D106)</f>
        <v/>
      </c>
      <c r="G106" s="14"/>
      <c r="H106" s="15" t="str">
        <f aca="false">IF(OR(G106="",D106=""),"",(G106-D106)/D106)</f>
        <v/>
      </c>
      <c r="I106" s="16" t="str">
        <f aca="false">IF(G106="","",IF(SIGN(F106)=SIGN(H106),"적중","실패"))</f>
        <v/>
      </c>
      <c r="J106" s="15" t="str">
        <f aca="false">IF(G106="","",ABS(H106-F106))</f>
        <v/>
      </c>
      <c r="K106" s="14"/>
      <c r="L106" s="15" t="str">
        <f aca="false">IF(OR(K106="",D106=""),"",(K106-D106)/D106)</f>
        <v/>
      </c>
      <c r="M106" s="14"/>
      <c r="N106" s="15" t="str">
        <f aca="false">IF(OR(M106="",D106=""),"",(M106-D106)/D106)</f>
        <v/>
      </c>
      <c r="O106" s="16" t="str">
        <f aca="false">IF(M106="","",IF(SIGN(L106)=SIGN(N106),"적중","실패"))</f>
        <v/>
      </c>
      <c r="P106" s="15" t="str">
        <f aca="false">IF(M106="","",ABS(N106-L106))</f>
        <v/>
      </c>
      <c r="Q106" s="13"/>
    </row>
    <row r="107" customFormat="false" ht="15" hidden="false" customHeight="false" outlineLevel="0" collapsed="false">
      <c r="A107" s="13"/>
      <c r="B107" s="13"/>
      <c r="C107" s="13"/>
      <c r="D107" s="14"/>
      <c r="E107" s="14"/>
      <c r="F107" s="15" t="str">
        <f aca="false">IF(OR(E107="",D107=""),"",(E107-D107)/D107)</f>
        <v/>
      </c>
      <c r="G107" s="14"/>
      <c r="H107" s="15" t="str">
        <f aca="false">IF(OR(G107="",D107=""),"",(G107-D107)/D107)</f>
        <v/>
      </c>
      <c r="I107" s="16" t="str">
        <f aca="false">IF(G107="","",IF(SIGN(F107)=SIGN(H107),"적중","실패"))</f>
        <v/>
      </c>
      <c r="J107" s="15" t="str">
        <f aca="false">IF(G107="","",ABS(H107-F107))</f>
        <v/>
      </c>
      <c r="K107" s="14"/>
      <c r="L107" s="15" t="str">
        <f aca="false">IF(OR(K107="",D107=""),"",(K107-D107)/D107)</f>
        <v/>
      </c>
      <c r="M107" s="14"/>
      <c r="N107" s="15" t="str">
        <f aca="false">IF(OR(M107="",D107=""),"",(M107-D107)/D107)</f>
        <v/>
      </c>
      <c r="O107" s="16" t="str">
        <f aca="false">IF(M107="","",IF(SIGN(L107)=SIGN(N107),"적중","실패"))</f>
        <v/>
      </c>
      <c r="P107" s="15" t="str">
        <f aca="false">IF(M107="","",ABS(N107-L107))</f>
        <v/>
      </c>
      <c r="Q107" s="13"/>
    </row>
    <row r="108" customFormat="false" ht="15" hidden="false" customHeight="false" outlineLevel="0" collapsed="false">
      <c r="A108" s="13"/>
      <c r="B108" s="13"/>
      <c r="C108" s="13"/>
      <c r="D108" s="14"/>
      <c r="E108" s="14"/>
      <c r="F108" s="15" t="str">
        <f aca="false">IF(OR(E108="",D108=""),"",(E108-D108)/D108)</f>
        <v/>
      </c>
      <c r="G108" s="14"/>
      <c r="H108" s="15" t="str">
        <f aca="false">IF(OR(G108="",D108=""),"",(G108-D108)/D108)</f>
        <v/>
      </c>
      <c r="I108" s="16" t="str">
        <f aca="false">IF(G108="","",IF(SIGN(F108)=SIGN(H108),"적중","실패"))</f>
        <v/>
      </c>
      <c r="J108" s="15" t="str">
        <f aca="false">IF(G108="","",ABS(H108-F108))</f>
        <v/>
      </c>
      <c r="K108" s="14"/>
      <c r="L108" s="15" t="str">
        <f aca="false">IF(OR(K108="",D108=""),"",(K108-D108)/D108)</f>
        <v/>
      </c>
      <c r="M108" s="14"/>
      <c r="N108" s="15" t="str">
        <f aca="false">IF(OR(M108="",D108=""),"",(M108-D108)/D108)</f>
        <v/>
      </c>
      <c r="O108" s="16" t="str">
        <f aca="false">IF(M108="","",IF(SIGN(L108)=SIGN(N108),"적중","실패"))</f>
        <v/>
      </c>
      <c r="P108" s="15" t="str">
        <f aca="false">IF(M108="","",ABS(N108-L108))</f>
        <v/>
      </c>
      <c r="Q108" s="13"/>
    </row>
    <row r="109" customFormat="false" ht="15" hidden="false" customHeight="false" outlineLevel="0" collapsed="false">
      <c r="A109" s="13"/>
      <c r="B109" s="13"/>
      <c r="C109" s="13"/>
      <c r="D109" s="14"/>
      <c r="E109" s="14"/>
      <c r="F109" s="15" t="str">
        <f aca="false">IF(OR(E109="",D109=""),"",(E109-D109)/D109)</f>
        <v/>
      </c>
      <c r="G109" s="14"/>
      <c r="H109" s="15" t="str">
        <f aca="false">IF(OR(G109="",D109=""),"",(G109-D109)/D109)</f>
        <v/>
      </c>
      <c r="I109" s="16" t="str">
        <f aca="false">IF(G109="","",IF(SIGN(F109)=SIGN(H109),"적중","실패"))</f>
        <v/>
      </c>
      <c r="J109" s="15" t="str">
        <f aca="false">IF(G109="","",ABS(H109-F109))</f>
        <v/>
      </c>
      <c r="K109" s="14"/>
      <c r="L109" s="15" t="str">
        <f aca="false">IF(OR(K109="",D109=""),"",(K109-D109)/D109)</f>
        <v/>
      </c>
      <c r="M109" s="14"/>
      <c r="N109" s="15" t="str">
        <f aca="false">IF(OR(M109="",D109=""),"",(M109-D109)/D109)</f>
        <v/>
      </c>
      <c r="O109" s="16" t="str">
        <f aca="false">IF(M109="","",IF(SIGN(L109)=SIGN(N109),"적중","실패"))</f>
        <v/>
      </c>
      <c r="P109" s="15" t="str">
        <f aca="false">IF(M109="","",ABS(N109-L109))</f>
        <v/>
      </c>
      <c r="Q109" s="13"/>
    </row>
    <row r="110" customFormat="false" ht="15" hidden="false" customHeight="false" outlineLevel="0" collapsed="false">
      <c r="A110" s="13"/>
      <c r="B110" s="13"/>
      <c r="C110" s="13"/>
      <c r="D110" s="14"/>
      <c r="E110" s="14"/>
      <c r="F110" s="15" t="str">
        <f aca="false">IF(OR(E110="",D110=""),"",(E110-D110)/D110)</f>
        <v/>
      </c>
      <c r="G110" s="14"/>
      <c r="H110" s="15" t="str">
        <f aca="false">IF(OR(G110="",D110=""),"",(G110-D110)/D110)</f>
        <v/>
      </c>
      <c r="I110" s="16" t="str">
        <f aca="false">IF(G110="","",IF(SIGN(F110)=SIGN(H110),"적중","실패"))</f>
        <v/>
      </c>
      <c r="J110" s="15" t="str">
        <f aca="false">IF(G110="","",ABS(H110-F110))</f>
        <v/>
      </c>
      <c r="K110" s="14"/>
      <c r="L110" s="15" t="str">
        <f aca="false">IF(OR(K110="",D110=""),"",(K110-D110)/D110)</f>
        <v/>
      </c>
      <c r="M110" s="14"/>
      <c r="N110" s="15" t="str">
        <f aca="false">IF(OR(M110="",D110=""),"",(M110-D110)/D110)</f>
        <v/>
      </c>
      <c r="O110" s="16" t="str">
        <f aca="false">IF(M110="","",IF(SIGN(L110)=SIGN(N110),"적중","실패"))</f>
        <v/>
      </c>
      <c r="P110" s="15" t="str">
        <f aca="false">IF(M110="","",ABS(N110-L110))</f>
        <v/>
      </c>
      <c r="Q110" s="13"/>
    </row>
    <row r="111" customFormat="false" ht="15" hidden="false" customHeight="false" outlineLevel="0" collapsed="false">
      <c r="A111" s="13"/>
      <c r="B111" s="13"/>
      <c r="C111" s="13"/>
      <c r="D111" s="14"/>
      <c r="E111" s="14"/>
      <c r="F111" s="15" t="str">
        <f aca="false">IF(OR(E111="",D111=""),"",(E111-D111)/D111)</f>
        <v/>
      </c>
      <c r="G111" s="14"/>
      <c r="H111" s="15" t="str">
        <f aca="false">IF(OR(G111="",D111=""),"",(G111-D111)/D111)</f>
        <v/>
      </c>
      <c r="I111" s="16" t="str">
        <f aca="false">IF(G111="","",IF(SIGN(F111)=SIGN(H111),"적중","실패"))</f>
        <v/>
      </c>
      <c r="J111" s="15" t="str">
        <f aca="false">IF(G111="","",ABS(H111-F111))</f>
        <v/>
      </c>
      <c r="K111" s="14"/>
      <c r="L111" s="15" t="str">
        <f aca="false">IF(OR(K111="",D111=""),"",(K111-D111)/D111)</f>
        <v/>
      </c>
      <c r="M111" s="14"/>
      <c r="N111" s="15" t="str">
        <f aca="false">IF(OR(M111="",D111=""),"",(M111-D111)/D111)</f>
        <v/>
      </c>
      <c r="O111" s="16" t="str">
        <f aca="false">IF(M111="","",IF(SIGN(L111)=SIGN(N111),"적중","실패"))</f>
        <v/>
      </c>
      <c r="P111" s="15" t="str">
        <f aca="false">IF(M111="","",ABS(N111-L111))</f>
        <v/>
      </c>
      <c r="Q111" s="13"/>
    </row>
    <row r="112" customFormat="false" ht="15" hidden="false" customHeight="false" outlineLevel="0" collapsed="false">
      <c r="A112" s="13"/>
      <c r="B112" s="13"/>
      <c r="C112" s="13"/>
      <c r="D112" s="14"/>
      <c r="E112" s="14"/>
      <c r="F112" s="15" t="str">
        <f aca="false">IF(OR(E112="",D112=""),"",(E112-D112)/D112)</f>
        <v/>
      </c>
      <c r="G112" s="14"/>
      <c r="H112" s="15" t="str">
        <f aca="false">IF(OR(G112="",D112=""),"",(G112-D112)/D112)</f>
        <v/>
      </c>
      <c r="I112" s="16" t="str">
        <f aca="false">IF(G112="","",IF(SIGN(F112)=SIGN(H112),"적중","실패"))</f>
        <v/>
      </c>
      <c r="J112" s="15" t="str">
        <f aca="false">IF(G112="","",ABS(H112-F112))</f>
        <v/>
      </c>
      <c r="K112" s="14"/>
      <c r="L112" s="15" t="str">
        <f aca="false">IF(OR(K112="",D112=""),"",(K112-D112)/D112)</f>
        <v/>
      </c>
      <c r="M112" s="14"/>
      <c r="N112" s="15" t="str">
        <f aca="false">IF(OR(M112="",D112=""),"",(M112-D112)/D112)</f>
        <v/>
      </c>
      <c r="O112" s="16" t="str">
        <f aca="false">IF(M112="","",IF(SIGN(L112)=SIGN(N112),"적중","실패"))</f>
        <v/>
      </c>
      <c r="P112" s="15" t="str">
        <f aca="false">IF(M112="","",ABS(N112-L112))</f>
        <v/>
      </c>
      <c r="Q112" s="13"/>
    </row>
    <row r="113" customFormat="false" ht="15" hidden="false" customHeight="false" outlineLevel="0" collapsed="false">
      <c r="A113" s="13"/>
      <c r="B113" s="13"/>
      <c r="C113" s="13"/>
      <c r="D113" s="14"/>
      <c r="E113" s="14"/>
      <c r="F113" s="15" t="str">
        <f aca="false">IF(OR(E113="",D113=""),"",(E113-D113)/D113)</f>
        <v/>
      </c>
      <c r="G113" s="14"/>
      <c r="H113" s="15" t="str">
        <f aca="false">IF(OR(G113="",D113=""),"",(G113-D113)/D113)</f>
        <v/>
      </c>
      <c r="I113" s="16" t="str">
        <f aca="false">IF(G113="","",IF(SIGN(F113)=SIGN(H113),"적중","실패"))</f>
        <v/>
      </c>
      <c r="J113" s="15" t="str">
        <f aca="false">IF(G113="","",ABS(H113-F113))</f>
        <v/>
      </c>
      <c r="K113" s="14"/>
      <c r="L113" s="15" t="str">
        <f aca="false">IF(OR(K113="",D113=""),"",(K113-D113)/D113)</f>
        <v/>
      </c>
      <c r="M113" s="14"/>
      <c r="N113" s="15" t="str">
        <f aca="false">IF(OR(M113="",D113=""),"",(M113-D113)/D113)</f>
        <v/>
      </c>
      <c r="O113" s="16" t="str">
        <f aca="false">IF(M113="","",IF(SIGN(L113)=SIGN(N113),"적중","실패"))</f>
        <v/>
      </c>
      <c r="P113" s="15" t="str">
        <f aca="false">IF(M113="","",ABS(N113-L113))</f>
        <v/>
      </c>
      <c r="Q113" s="13"/>
    </row>
    <row r="114" customFormat="false" ht="15" hidden="false" customHeight="false" outlineLevel="0" collapsed="false">
      <c r="A114" s="13"/>
      <c r="B114" s="13"/>
      <c r="C114" s="13"/>
      <c r="D114" s="14"/>
      <c r="E114" s="14"/>
      <c r="F114" s="15" t="str">
        <f aca="false">IF(OR(E114="",D114=""),"",(E114-D114)/D114)</f>
        <v/>
      </c>
      <c r="G114" s="14"/>
      <c r="H114" s="15" t="str">
        <f aca="false">IF(OR(G114="",D114=""),"",(G114-D114)/D114)</f>
        <v/>
      </c>
      <c r="I114" s="16" t="str">
        <f aca="false">IF(G114="","",IF(SIGN(F114)=SIGN(H114),"적중","실패"))</f>
        <v/>
      </c>
      <c r="J114" s="15" t="str">
        <f aca="false">IF(G114="","",ABS(H114-F114))</f>
        <v/>
      </c>
      <c r="K114" s="14"/>
      <c r="L114" s="15" t="str">
        <f aca="false">IF(OR(K114="",D114=""),"",(K114-D114)/D114)</f>
        <v/>
      </c>
      <c r="M114" s="14"/>
      <c r="N114" s="15" t="str">
        <f aca="false">IF(OR(M114="",D114=""),"",(M114-D114)/D114)</f>
        <v/>
      </c>
      <c r="O114" s="16" t="str">
        <f aca="false">IF(M114="","",IF(SIGN(L114)=SIGN(N114),"적중","실패"))</f>
        <v/>
      </c>
      <c r="P114" s="15" t="str">
        <f aca="false">IF(M114="","",ABS(N114-L114))</f>
        <v/>
      </c>
      <c r="Q114" s="13"/>
    </row>
    <row r="115" customFormat="false" ht="15" hidden="false" customHeight="false" outlineLevel="0" collapsed="false">
      <c r="A115" s="13"/>
      <c r="B115" s="13"/>
      <c r="C115" s="13"/>
      <c r="D115" s="14"/>
      <c r="E115" s="14"/>
      <c r="F115" s="15" t="str">
        <f aca="false">IF(OR(E115="",D115=""),"",(E115-D115)/D115)</f>
        <v/>
      </c>
      <c r="G115" s="14"/>
      <c r="H115" s="15" t="str">
        <f aca="false">IF(OR(G115="",D115=""),"",(G115-D115)/D115)</f>
        <v/>
      </c>
      <c r="I115" s="16" t="str">
        <f aca="false">IF(G115="","",IF(SIGN(F115)=SIGN(H115),"적중","실패"))</f>
        <v/>
      </c>
      <c r="J115" s="15" t="str">
        <f aca="false">IF(G115="","",ABS(H115-F115))</f>
        <v/>
      </c>
      <c r="K115" s="14"/>
      <c r="L115" s="15" t="str">
        <f aca="false">IF(OR(K115="",D115=""),"",(K115-D115)/D115)</f>
        <v/>
      </c>
      <c r="M115" s="14"/>
      <c r="N115" s="15" t="str">
        <f aca="false">IF(OR(M115="",D115=""),"",(M115-D115)/D115)</f>
        <v/>
      </c>
      <c r="O115" s="16" t="str">
        <f aca="false">IF(M115="","",IF(SIGN(L115)=SIGN(N115),"적중","실패"))</f>
        <v/>
      </c>
      <c r="P115" s="15" t="str">
        <f aca="false">IF(M115="","",ABS(N115-L115))</f>
        <v/>
      </c>
      <c r="Q115" s="13"/>
    </row>
    <row r="116" customFormat="false" ht="15" hidden="false" customHeight="false" outlineLevel="0" collapsed="false">
      <c r="A116" s="13"/>
      <c r="B116" s="13"/>
      <c r="C116" s="13"/>
      <c r="D116" s="14"/>
      <c r="E116" s="14"/>
      <c r="F116" s="15" t="str">
        <f aca="false">IF(OR(E116="",D116=""),"",(E116-D116)/D116)</f>
        <v/>
      </c>
      <c r="G116" s="14"/>
      <c r="H116" s="15" t="str">
        <f aca="false">IF(OR(G116="",D116=""),"",(G116-D116)/D116)</f>
        <v/>
      </c>
      <c r="I116" s="16" t="str">
        <f aca="false">IF(G116="","",IF(SIGN(F116)=SIGN(H116),"적중","실패"))</f>
        <v/>
      </c>
      <c r="J116" s="15" t="str">
        <f aca="false">IF(G116="","",ABS(H116-F116))</f>
        <v/>
      </c>
      <c r="K116" s="14"/>
      <c r="L116" s="15" t="str">
        <f aca="false">IF(OR(K116="",D116=""),"",(K116-D116)/D116)</f>
        <v/>
      </c>
      <c r="M116" s="14"/>
      <c r="N116" s="15" t="str">
        <f aca="false">IF(OR(M116="",D116=""),"",(M116-D116)/D116)</f>
        <v/>
      </c>
      <c r="O116" s="16" t="str">
        <f aca="false">IF(M116="","",IF(SIGN(L116)=SIGN(N116),"적중","실패"))</f>
        <v/>
      </c>
      <c r="P116" s="15" t="str">
        <f aca="false">IF(M116="","",ABS(N116-L116))</f>
        <v/>
      </c>
      <c r="Q116" s="13"/>
    </row>
    <row r="117" customFormat="false" ht="15" hidden="false" customHeight="false" outlineLevel="0" collapsed="false">
      <c r="A117" s="13"/>
      <c r="B117" s="13"/>
      <c r="C117" s="13"/>
      <c r="D117" s="14"/>
      <c r="E117" s="14"/>
      <c r="F117" s="15" t="str">
        <f aca="false">IF(OR(E117="",D117=""),"",(E117-D117)/D117)</f>
        <v/>
      </c>
      <c r="G117" s="14"/>
      <c r="H117" s="15" t="str">
        <f aca="false">IF(OR(G117="",D117=""),"",(G117-D117)/D117)</f>
        <v/>
      </c>
      <c r="I117" s="16" t="str">
        <f aca="false">IF(G117="","",IF(SIGN(F117)=SIGN(H117),"적중","실패"))</f>
        <v/>
      </c>
      <c r="J117" s="15" t="str">
        <f aca="false">IF(G117="","",ABS(H117-F117))</f>
        <v/>
      </c>
      <c r="K117" s="14"/>
      <c r="L117" s="15" t="str">
        <f aca="false">IF(OR(K117="",D117=""),"",(K117-D117)/D117)</f>
        <v/>
      </c>
      <c r="M117" s="14"/>
      <c r="N117" s="15" t="str">
        <f aca="false">IF(OR(M117="",D117=""),"",(M117-D117)/D117)</f>
        <v/>
      </c>
      <c r="O117" s="16" t="str">
        <f aca="false">IF(M117="","",IF(SIGN(L117)=SIGN(N117),"적중","실패"))</f>
        <v/>
      </c>
      <c r="P117" s="15" t="str">
        <f aca="false">IF(M117="","",ABS(N117-L117))</f>
        <v/>
      </c>
      <c r="Q117" s="13"/>
    </row>
    <row r="118" customFormat="false" ht="15" hidden="false" customHeight="false" outlineLevel="0" collapsed="false">
      <c r="A118" s="13"/>
      <c r="B118" s="13"/>
      <c r="C118" s="13"/>
      <c r="D118" s="14"/>
      <c r="E118" s="14"/>
      <c r="F118" s="15" t="str">
        <f aca="false">IF(OR(E118="",D118=""),"",(E118-D118)/D118)</f>
        <v/>
      </c>
      <c r="G118" s="14"/>
      <c r="H118" s="15" t="str">
        <f aca="false">IF(OR(G118="",D118=""),"",(G118-D118)/D118)</f>
        <v/>
      </c>
      <c r="I118" s="16" t="str">
        <f aca="false">IF(G118="","",IF(SIGN(F118)=SIGN(H118),"적중","실패"))</f>
        <v/>
      </c>
      <c r="J118" s="15" t="str">
        <f aca="false">IF(G118="","",ABS(H118-F118))</f>
        <v/>
      </c>
      <c r="K118" s="14"/>
      <c r="L118" s="15" t="str">
        <f aca="false">IF(OR(K118="",D118=""),"",(K118-D118)/D118)</f>
        <v/>
      </c>
      <c r="M118" s="14"/>
      <c r="N118" s="15" t="str">
        <f aca="false">IF(OR(M118="",D118=""),"",(M118-D118)/D118)</f>
        <v/>
      </c>
      <c r="O118" s="16" t="str">
        <f aca="false">IF(M118="","",IF(SIGN(L118)=SIGN(N118),"적중","실패"))</f>
        <v/>
      </c>
      <c r="P118" s="15" t="str">
        <f aca="false">IF(M118="","",ABS(N118-L118))</f>
        <v/>
      </c>
      <c r="Q118" s="13"/>
    </row>
    <row r="119" customFormat="false" ht="15" hidden="false" customHeight="false" outlineLevel="0" collapsed="false">
      <c r="A119" s="13"/>
      <c r="B119" s="13"/>
      <c r="C119" s="13"/>
      <c r="D119" s="14"/>
      <c r="E119" s="14"/>
      <c r="F119" s="15" t="str">
        <f aca="false">IF(OR(E119="",D119=""),"",(E119-D119)/D119)</f>
        <v/>
      </c>
      <c r="G119" s="14"/>
      <c r="H119" s="15" t="str">
        <f aca="false">IF(OR(G119="",D119=""),"",(G119-D119)/D119)</f>
        <v/>
      </c>
      <c r="I119" s="16" t="str">
        <f aca="false">IF(G119="","",IF(SIGN(F119)=SIGN(H119),"적중","실패"))</f>
        <v/>
      </c>
      <c r="J119" s="15" t="str">
        <f aca="false">IF(G119="","",ABS(H119-F119))</f>
        <v/>
      </c>
      <c r="K119" s="14"/>
      <c r="L119" s="15" t="str">
        <f aca="false">IF(OR(K119="",D119=""),"",(K119-D119)/D119)</f>
        <v/>
      </c>
      <c r="M119" s="14"/>
      <c r="N119" s="15" t="str">
        <f aca="false">IF(OR(M119="",D119=""),"",(M119-D119)/D119)</f>
        <v/>
      </c>
      <c r="O119" s="16" t="str">
        <f aca="false">IF(M119="","",IF(SIGN(L119)=SIGN(N119),"적중","실패"))</f>
        <v/>
      </c>
      <c r="P119" s="15" t="str">
        <f aca="false">IF(M119="","",ABS(N119-L119))</f>
        <v/>
      </c>
      <c r="Q119" s="13"/>
    </row>
    <row r="120" customFormat="false" ht="15" hidden="false" customHeight="false" outlineLevel="0" collapsed="false">
      <c r="A120" s="13"/>
      <c r="B120" s="13"/>
      <c r="C120" s="13"/>
      <c r="D120" s="14"/>
      <c r="E120" s="14"/>
      <c r="F120" s="15" t="str">
        <f aca="false">IF(OR(E120="",D120=""),"",(E120-D120)/D120)</f>
        <v/>
      </c>
      <c r="G120" s="14"/>
      <c r="H120" s="15" t="str">
        <f aca="false">IF(OR(G120="",D120=""),"",(G120-D120)/D120)</f>
        <v/>
      </c>
      <c r="I120" s="16" t="str">
        <f aca="false">IF(G120="","",IF(SIGN(F120)=SIGN(H120),"적중","실패"))</f>
        <v/>
      </c>
      <c r="J120" s="15" t="str">
        <f aca="false">IF(G120="","",ABS(H120-F120))</f>
        <v/>
      </c>
      <c r="K120" s="14"/>
      <c r="L120" s="15" t="str">
        <f aca="false">IF(OR(K120="",D120=""),"",(K120-D120)/D120)</f>
        <v/>
      </c>
      <c r="M120" s="14"/>
      <c r="N120" s="15" t="str">
        <f aca="false">IF(OR(M120="",D120=""),"",(M120-D120)/D120)</f>
        <v/>
      </c>
      <c r="O120" s="16" t="str">
        <f aca="false">IF(M120="","",IF(SIGN(L120)=SIGN(N120),"적중","실패"))</f>
        <v/>
      </c>
      <c r="P120" s="15" t="str">
        <f aca="false">IF(M120="","",ABS(N120-L120))</f>
        <v/>
      </c>
      <c r="Q120" s="13"/>
    </row>
    <row r="121" customFormat="false" ht="15" hidden="false" customHeight="false" outlineLevel="0" collapsed="false">
      <c r="A121" s="13"/>
      <c r="B121" s="13"/>
      <c r="C121" s="13"/>
      <c r="D121" s="14"/>
      <c r="E121" s="14"/>
      <c r="F121" s="15" t="str">
        <f aca="false">IF(OR(E121="",D121=""),"",(E121-D121)/D121)</f>
        <v/>
      </c>
      <c r="G121" s="14"/>
      <c r="H121" s="15" t="str">
        <f aca="false">IF(OR(G121="",D121=""),"",(G121-D121)/D121)</f>
        <v/>
      </c>
      <c r="I121" s="16" t="str">
        <f aca="false">IF(G121="","",IF(SIGN(F121)=SIGN(H121),"적중","실패"))</f>
        <v/>
      </c>
      <c r="J121" s="15" t="str">
        <f aca="false">IF(G121="","",ABS(H121-F121))</f>
        <v/>
      </c>
      <c r="K121" s="14"/>
      <c r="L121" s="15" t="str">
        <f aca="false">IF(OR(K121="",D121=""),"",(K121-D121)/D121)</f>
        <v/>
      </c>
      <c r="M121" s="14"/>
      <c r="N121" s="15" t="str">
        <f aca="false">IF(OR(M121="",D121=""),"",(M121-D121)/D121)</f>
        <v/>
      </c>
      <c r="O121" s="16" t="str">
        <f aca="false">IF(M121="","",IF(SIGN(L121)=SIGN(N121),"적중","실패"))</f>
        <v/>
      </c>
      <c r="P121" s="15" t="str">
        <f aca="false">IF(M121="","",ABS(N121-L121))</f>
        <v/>
      </c>
      <c r="Q121" s="13"/>
    </row>
    <row r="122" customFormat="false" ht="15" hidden="false" customHeight="false" outlineLevel="0" collapsed="false">
      <c r="A122" s="13"/>
      <c r="B122" s="13"/>
      <c r="C122" s="13"/>
      <c r="D122" s="14"/>
      <c r="E122" s="14"/>
      <c r="F122" s="15" t="str">
        <f aca="false">IF(OR(E122="",D122=""),"",(E122-D122)/D122)</f>
        <v/>
      </c>
      <c r="G122" s="14"/>
      <c r="H122" s="15" t="str">
        <f aca="false">IF(OR(G122="",D122=""),"",(G122-D122)/D122)</f>
        <v/>
      </c>
      <c r="I122" s="16" t="str">
        <f aca="false">IF(G122="","",IF(SIGN(F122)=SIGN(H122),"적중","실패"))</f>
        <v/>
      </c>
      <c r="J122" s="15" t="str">
        <f aca="false">IF(G122="","",ABS(H122-F122))</f>
        <v/>
      </c>
      <c r="K122" s="14"/>
      <c r="L122" s="15" t="str">
        <f aca="false">IF(OR(K122="",D122=""),"",(K122-D122)/D122)</f>
        <v/>
      </c>
      <c r="M122" s="14"/>
      <c r="N122" s="15" t="str">
        <f aca="false">IF(OR(M122="",D122=""),"",(M122-D122)/D122)</f>
        <v/>
      </c>
      <c r="O122" s="16" t="str">
        <f aca="false">IF(M122="","",IF(SIGN(L122)=SIGN(N122),"적중","실패"))</f>
        <v/>
      </c>
      <c r="P122" s="15" t="str">
        <f aca="false">IF(M122="","",ABS(N122-L122))</f>
        <v/>
      </c>
      <c r="Q122" s="13"/>
    </row>
    <row r="123" customFormat="false" ht="15" hidden="false" customHeight="false" outlineLevel="0" collapsed="false">
      <c r="A123" s="13"/>
      <c r="B123" s="13"/>
      <c r="C123" s="13"/>
      <c r="D123" s="14"/>
      <c r="E123" s="14"/>
      <c r="F123" s="15" t="str">
        <f aca="false">IF(OR(E123="",D123=""),"",(E123-D123)/D123)</f>
        <v/>
      </c>
      <c r="G123" s="14"/>
      <c r="H123" s="15" t="str">
        <f aca="false">IF(OR(G123="",D123=""),"",(G123-D123)/D123)</f>
        <v/>
      </c>
      <c r="I123" s="16" t="str">
        <f aca="false">IF(G123="","",IF(SIGN(F123)=SIGN(H123),"적중","실패"))</f>
        <v/>
      </c>
      <c r="J123" s="15" t="str">
        <f aca="false">IF(G123="","",ABS(H123-F123))</f>
        <v/>
      </c>
      <c r="K123" s="14"/>
      <c r="L123" s="15" t="str">
        <f aca="false">IF(OR(K123="",D123=""),"",(K123-D123)/D123)</f>
        <v/>
      </c>
      <c r="M123" s="14"/>
      <c r="N123" s="15" t="str">
        <f aca="false">IF(OR(M123="",D123=""),"",(M123-D123)/D123)</f>
        <v/>
      </c>
      <c r="O123" s="16" t="str">
        <f aca="false">IF(M123="","",IF(SIGN(L123)=SIGN(N123),"적중","실패"))</f>
        <v/>
      </c>
      <c r="P123" s="15" t="str">
        <f aca="false">IF(M123="","",ABS(N123-L123))</f>
        <v/>
      </c>
      <c r="Q123" s="13"/>
    </row>
    <row r="124" customFormat="false" ht="15" hidden="false" customHeight="false" outlineLevel="0" collapsed="false">
      <c r="A124" s="13"/>
      <c r="B124" s="13"/>
      <c r="C124" s="13"/>
      <c r="D124" s="14"/>
      <c r="E124" s="14"/>
      <c r="F124" s="15" t="str">
        <f aca="false">IF(OR(E124="",D124=""),"",(E124-D124)/D124)</f>
        <v/>
      </c>
      <c r="G124" s="14"/>
      <c r="H124" s="15" t="str">
        <f aca="false">IF(OR(G124="",D124=""),"",(G124-D124)/D124)</f>
        <v/>
      </c>
      <c r="I124" s="16" t="str">
        <f aca="false">IF(G124="","",IF(SIGN(F124)=SIGN(H124),"적중","실패"))</f>
        <v/>
      </c>
      <c r="J124" s="15" t="str">
        <f aca="false">IF(G124="","",ABS(H124-F124))</f>
        <v/>
      </c>
      <c r="K124" s="14"/>
      <c r="L124" s="15" t="str">
        <f aca="false">IF(OR(K124="",D124=""),"",(K124-D124)/D124)</f>
        <v/>
      </c>
      <c r="M124" s="14"/>
      <c r="N124" s="15" t="str">
        <f aca="false">IF(OR(M124="",D124=""),"",(M124-D124)/D124)</f>
        <v/>
      </c>
      <c r="O124" s="16" t="str">
        <f aca="false">IF(M124="","",IF(SIGN(L124)=SIGN(N124),"적중","실패"))</f>
        <v/>
      </c>
      <c r="P124" s="15" t="str">
        <f aca="false">IF(M124="","",ABS(N124-L124))</f>
        <v/>
      </c>
      <c r="Q124" s="13"/>
    </row>
    <row r="125" customFormat="false" ht="15" hidden="false" customHeight="false" outlineLevel="0" collapsed="false">
      <c r="A125" s="13"/>
      <c r="B125" s="13"/>
      <c r="C125" s="13"/>
      <c r="D125" s="14"/>
      <c r="E125" s="14"/>
      <c r="F125" s="15" t="str">
        <f aca="false">IF(OR(E125="",D125=""),"",(E125-D125)/D125)</f>
        <v/>
      </c>
      <c r="G125" s="14"/>
      <c r="H125" s="15" t="str">
        <f aca="false">IF(OR(G125="",D125=""),"",(G125-D125)/D125)</f>
        <v/>
      </c>
      <c r="I125" s="16" t="str">
        <f aca="false">IF(G125="","",IF(SIGN(F125)=SIGN(H125),"적중","실패"))</f>
        <v/>
      </c>
      <c r="J125" s="15" t="str">
        <f aca="false">IF(G125="","",ABS(H125-F125))</f>
        <v/>
      </c>
      <c r="K125" s="14"/>
      <c r="L125" s="15" t="str">
        <f aca="false">IF(OR(K125="",D125=""),"",(K125-D125)/D125)</f>
        <v/>
      </c>
      <c r="M125" s="14"/>
      <c r="N125" s="15" t="str">
        <f aca="false">IF(OR(M125="",D125=""),"",(M125-D125)/D125)</f>
        <v/>
      </c>
      <c r="O125" s="16" t="str">
        <f aca="false">IF(M125="","",IF(SIGN(L125)=SIGN(N125),"적중","실패"))</f>
        <v/>
      </c>
      <c r="P125" s="15" t="str">
        <f aca="false">IF(M125="","",ABS(N125-L125))</f>
        <v/>
      </c>
      <c r="Q125" s="13"/>
    </row>
    <row r="126" customFormat="false" ht="15" hidden="false" customHeight="false" outlineLevel="0" collapsed="false">
      <c r="A126" s="13"/>
      <c r="B126" s="13"/>
      <c r="C126" s="13"/>
      <c r="D126" s="14"/>
      <c r="E126" s="14"/>
      <c r="F126" s="15" t="str">
        <f aca="false">IF(OR(E126="",D126=""),"",(E126-D126)/D126)</f>
        <v/>
      </c>
      <c r="G126" s="14"/>
      <c r="H126" s="15" t="str">
        <f aca="false">IF(OR(G126="",D126=""),"",(G126-D126)/D126)</f>
        <v/>
      </c>
      <c r="I126" s="16" t="str">
        <f aca="false">IF(G126="","",IF(SIGN(F126)=SIGN(H126),"적중","실패"))</f>
        <v/>
      </c>
      <c r="J126" s="15" t="str">
        <f aca="false">IF(G126="","",ABS(H126-F126))</f>
        <v/>
      </c>
      <c r="K126" s="14"/>
      <c r="L126" s="15" t="str">
        <f aca="false">IF(OR(K126="",D126=""),"",(K126-D126)/D126)</f>
        <v/>
      </c>
      <c r="M126" s="14"/>
      <c r="N126" s="15" t="str">
        <f aca="false">IF(OR(M126="",D126=""),"",(M126-D126)/D126)</f>
        <v/>
      </c>
      <c r="O126" s="16" t="str">
        <f aca="false">IF(M126="","",IF(SIGN(L126)=SIGN(N126),"적중","실패"))</f>
        <v/>
      </c>
      <c r="P126" s="15" t="str">
        <f aca="false">IF(M126="","",ABS(N126-L126))</f>
        <v/>
      </c>
      <c r="Q126" s="13"/>
    </row>
    <row r="127" customFormat="false" ht="15" hidden="false" customHeight="false" outlineLevel="0" collapsed="false">
      <c r="A127" s="13"/>
      <c r="B127" s="13"/>
      <c r="C127" s="13"/>
      <c r="D127" s="14"/>
      <c r="E127" s="14"/>
      <c r="F127" s="15" t="str">
        <f aca="false">IF(OR(E127="",D127=""),"",(E127-D127)/D127)</f>
        <v/>
      </c>
      <c r="G127" s="14"/>
      <c r="H127" s="15" t="str">
        <f aca="false">IF(OR(G127="",D127=""),"",(G127-D127)/D127)</f>
        <v/>
      </c>
      <c r="I127" s="16" t="str">
        <f aca="false">IF(G127="","",IF(SIGN(F127)=SIGN(H127),"적중","실패"))</f>
        <v/>
      </c>
      <c r="J127" s="15" t="str">
        <f aca="false">IF(G127="","",ABS(H127-F127))</f>
        <v/>
      </c>
      <c r="K127" s="14"/>
      <c r="L127" s="15" t="str">
        <f aca="false">IF(OR(K127="",D127=""),"",(K127-D127)/D127)</f>
        <v/>
      </c>
      <c r="M127" s="14"/>
      <c r="N127" s="15" t="str">
        <f aca="false">IF(OR(M127="",D127=""),"",(M127-D127)/D127)</f>
        <v/>
      </c>
      <c r="O127" s="16" t="str">
        <f aca="false">IF(M127="","",IF(SIGN(L127)=SIGN(N127),"적중","실패"))</f>
        <v/>
      </c>
      <c r="P127" s="15" t="str">
        <f aca="false">IF(M127="","",ABS(N127-L127))</f>
        <v/>
      </c>
      <c r="Q127" s="13"/>
    </row>
    <row r="128" customFormat="false" ht="15" hidden="false" customHeight="false" outlineLevel="0" collapsed="false">
      <c r="A128" s="13"/>
      <c r="B128" s="13"/>
      <c r="C128" s="13"/>
      <c r="D128" s="14"/>
      <c r="E128" s="14"/>
      <c r="F128" s="15" t="str">
        <f aca="false">IF(OR(E128="",D128=""),"",(E128-D128)/D128)</f>
        <v/>
      </c>
      <c r="G128" s="14"/>
      <c r="H128" s="15" t="str">
        <f aca="false">IF(OR(G128="",D128=""),"",(G128-D128)/D128)</f>
        <v/>
      </c>
      <c r="I128" s="16" t="str">
        <f aca="false">IF(G128="","",IF(SIGN(F128)=SIGN(H128),"적중","실패"))</f>
        <v/>
      </c>
      <c r="J128" s="15" t="str">
        <f aca="false">IF(G128="","",ABS(H128-F128))</f>
        <v/>
      </c>
      <c r="K128" s="14"/>
      <c r="L128" s="15" t="str">
        <f aca="false">IF(OR(K128="",D128=""),"",(K128-D128)/D128)</f>
        <v/>
      </c>
      <c r="M128" s="14"/>
      <c r="N128" s="15" t="str">
        <f aca="false">IF(OR(M128="",D128=""),"",(M128-D128)/D128)</f>
        <v/>
      </c>
      <c r="O128" s="16" t="str">
        <f aca="false">IF(M128="","",IF(SIGN(L128)=SIGN(N128),"적중","실패"))</f>
        <v/>
      </c>
      <c r="P128" s="15" t="str">
        <f aca="false">IF(M128="","",ABS(N128-L128))</f>
        <v/>
      </c>
      <c r="Q128" s="13"/>
    </row>
    <row r="129" customFormat="false" ht="15" hidden="false" customHeight="false" outlineLevel="0" collapsed="false">
      <c r="A129" s="13"/>
      <c r="B129" s="13"/>
      <c r="C129" s="13"/>
      <c r="D129" s="14"/>
      <c r="E129" s="14"/>
      <c r="F129" s="15" t="str">
        <f aca="false">IF(OR(E129="",D129=""),"",(E129-D129)/D129)</f>
        <v/>
      </c>
      <c r="G129" s="14"/>
      <c r="H129" s="15" t="str">
        <f aca="false">IF(OR(G129="",D129=""),"",(G129-D129)/D129)</f>
        <v/>
      </c>
      <c r="I129" s="16" t="str">
        <f aca="false">IF(G129="","",IF(SIGN(F129)=SIGN(H129),"적중","실패"))</f>
        <v/>
      </c>
      <c r="J129" s="15" t="str">
        <f aca="false">IF(G129="","",ABS(H129-F129))</f>
        <v/>
      </c>
      <c r="K129" s="14"/>
      <c r="L129" s="15" t="str">
        <f aca="false">IF(OR(K129="",D129=""),"",(K129-D129)/D129)</f>
        <v/>
      </c>
      <c r="M129" s="14"/>
      <c r="N129" s="15" t="str">
        <f aca="false">IF(OR(M129="",D129=""),"",(M129-D129)/D129)</f>
        <v/>
      </c>
      <c r="O129" s="16" t="str">
        <f aca="false">IF(M129="","",IF(SIGN(L129)=SIGN(N129),"적중","실패"))</f>
        <v/>
      </c>
      <c r="P129" s="15" t="str">
        <f aca="false">IF(M129="","",ABS(N129-L129))</f>
        <v/>
      </c>
      <c r="Q129" s="13"/>
    </row>
    <row r="130" customFormat="false" ht="15" hidden="false" customHeight="false" outlineLevel="0" collapsed="false">
      <c r="A130" s="13"/>
      <c r="B130" s="13"/>
      <c r="C130" s="13"/>
      <c r="D130" s="14"/>
      <c r="E130" s="14"/>
      <c r="F130" s="15" t="str">
        <f aca="false">IF(OR(E130="",D130=""),"",(E130-D130)/D130)</f>
        <v/>
      </c>
      <c r="G130" s="14"/>
      <c r="H130" s="15" t="str">
        <f aca="false">IF(OR(G130="",D130=""),"",(G130-D130)/D130)</f>
        <v/>
      </c>
      <c r="I130" s="16" t="str">
        <f aca="false">IF(G130="","",IF(SIGN(F130)=SIGN(H130),"적중","실패"))</f>
        <v/>
      </c>
      <c r="J130" s="15" t="str">
        <f aca="false">IF(G130="","",ABS(H130-F130))</f>
        <v/>
      </c>
      <c r="K130" s="14"/>
      <c r="L130" s="15" t="str">
        <f aca="false">IF(OR(K130="",D130=""),"",(K130-D130)/D130)</f>
        <v/>
      </c>
      <c r="M130" s="14"/>
      <c r="N130" s="15" t="str">
        <f aca="false">IF(OR(M130="",D130=""),"",(M130-D130)/D130)</f>
        <v/>
      </c>
      <c r="O130" s="16" t="str">
        <f aca="false">IF(M130="","",IF(SIGN(L130)=SIGN(N130),"적중","실패"))</f>
        <v/>
      </c>
      <c r="P130" s="15" t="str">
        <f aca="false">IF(M130="","",ABS(N130-L130))</f>
        <v/>
      </c>
      <c r="Q130" s="13"/>
    </row>
    <row r="131" customFormat="false" ht="15" hidden="false" customHeight="false" outlineLevel="0" collapsed="false">
      <c r="A131" s="13"/>
      <c r="B131" s="13"/>
      <c r="C131" s="13"/>
      <c r="D131" s="14"/>
      <c r="E131" s="14"/>
      <c r="F131" s="15" t="str">
        <f aca="false">IF(OR(E131="",D131=""),"",(E131-D131)/D131)</f>
        <v/>
      </c>
      <c r="G131" s="14"/>
      <c r="H131" s="15" t="str">
        <f aca="false">IF(OR(G131="",D131=""),"",(G131-D131)/D131)</f>
        <v/>
      </c>
      <c r="I131" s="16" t="str">
        <f aca="false">IF(G131="","",IF(SIGN(F131)=SIGN(H131),"적중","실패"))</f>
        <v/>
      </c>
      <c r="J131" s="15" t="str">
        <f aca="false">IF(G131="","",ABS(H131-F131))</f>
        <v/>
      </c>
      <c r="K131" s="14"/>
      <c r="L131" s="15" t="str">
        <f aca="false">IF(OR(K131="",D131=""),"",(K131-D131)/D131)</f>
        <v/>
      </c>
      <c r="M131" s="14"/>
      <c r="N131" s="15" t="str">
        <f aca="false">IF(OR(M131="",D131=""),"",(M131-D131)/D131)</f>
        <v/>
      </c>
      <c r="O131" s="16" t="str">
        <f aca="false">IF(M131="","",IF(SIGN(L131)=SIGN(N131),"적중","실패"))</f>
        <v/>
      </c>
      <c r="P131" s="15" t="str">
        <f aca="false">IF(M131="","",ABS(N131-L131))</f>
        <v/>
      </c>
      <c r="Q131" s="13"/>
    </row>
    <row r="132" customFormat="false" ht="15" hidden="false" customHeight="false" outlineLevel="0" collapsed="false">
      <c r="A132" s="13"/>
      <c r="B132" s="13"/>
      <c r="C132" s="13"/>
      <c r="D132" s="14"/>
      <c r="E132" s="14"/>
      <c r="F132" s="15" t="str">
        <f aca="false">IF(OR(E132="",D132=""),"",(E132-D132)/D132)</f>
        <v/>
      </c>
      <c r="G132" s="14"/>
      <c r="H132" s="15" t="str">
        <f aca="false">IF(OR(G132="",D132=""),"",(G132-D132)/D132)</f>
        <v/>
      </c>
      <c r="I132" s="16" t="str">
        <f aca="false">IF(G132="","",IF(SIGN(F132)=SIGN(H132),"적중","실패"))</f>
        <v/>
      </c>
      <c r="J132" s="15" t="str">
        <f aca="false">IF(G132="","",ABS(H132-F132))</f>
        <v/>
      </c>
      <c r="K132" s="14"/>
      <c r="L132" s="15" t="str">
        <f aca="false">IF(OR(K132="",D132=""),"",(K132-D132)/D132)</f>
        <v/>
      </c>
      <c r="M132" s="14"/>
      <c r="N132" s="15" t="str">
        <f aca="false">IF(OR(M132="",D132=""),"",(M132-D132)/D132)</f>
        <v/>
      </c>
      <c r="O132" s="16" t="str">
        <f aca="false">IF(M132="","",IF(SIGN(L132)=SIGN(N132),"적중","실패"))</f>
        <v/>
      </c>
      <c r="P132" s="15" t="str">
        <f aca="false">IF(M132="","",ABS(N132-L132))</f>
        <v/>
      </c>
      <c r="Q132" s="13"/>
    </row>
    <row r="133" customFormat="false" ht="15" hidden="false" customHeight="false" outlineLevel="0" collapsed="false">
      <c r="A133" s="13"/>
      <c r="B133" s="13"/>
      <c r="C133" s="13"/>
      <c r="D133" s="14"/>
      <c r="E133" s="14"/>
      <c r="F133" s="15" t="str">
        <f aca="false">IF(OR(E133="",D133=""),"",(E133-D133)/D133)</f>
        <v/>
      </c>
      <c r="G133" s="14"/>
      <c r="H133" s="15" t="str">
        <f aca="false">IF(OR(G133="",D133=""),"",(G133-D133)/D133)</f>
        <v/>
      </c>
      <c r="I133" s="16" t="str">
        <f aca="false">IF(G133="","",IF(SIGN(F133)=SIGN(H133),"적중","실패"))</f>
        <v/>
      </c>
      <c r="J133" s="15" t="str">
        <f aca="false">IF(G133="","",ABS(H133-F133))</f>
        <v/>
      </c>
      <c r="K133" s="14"/>
      <c r="L133" s="15" t="str">
        <f aca="false">IF(OR(K133="",D133=""),"",(K133-D133)/D133)</f>
        <v/>
      </c>
      <c r="M133" s="14"/>
      <c r="N133" s="15" t="str">
        <f aca="false">IF(OR(M133="",D133=""),"",(M133-D133)/D133)</f>
        <v/>
      </c>
      <c r="O133" s="16" t="str">
        <f aca="false">IF(M133="","",IF(SIGN(L133)=SIGN(N133),"적중","실패"))</f>
        <v/>
      </c>
      <c r="P133" s="15" t="str">
        <f aca="false">IF(M133="","",ABS(N133-L133))</f>
        <v/>
      </c>
      <c r="Q133" s="13"/>
    </row>
    <row r="134" customFormat="false" ht="15" hidden="false" customHeight="false" outlineLevel="0" collapsed="false">
      <c r="A134" s="13"/>
      <c r="B134" s="13"/>
      <c r="C134" s="13"/>
      <c r="D134" s="14"/>
      <c r="E134" s="14"/>
      <c r="F134" s="15" t="str">
        <f aca="false">IF(OR(E134="",D134=""),"",(E134-D134)/D134)</f>
        <v/>
      </c>
      <c r="G134" s="14"/>
      <c r="H134" s="15" t="str">
        <f aca="false">IF(OR(G134="",D134=""),"",(G134-D134)/D134)</f>
        <v/>
      </c>
      <c r="I134" s="16" t="str">
        <f aca="false">IF(G134="","",IF(SIGN(F134)=SIGN(H134),"적중","실패"))</f>
        <v/>
      </c>
      <c r="J134" s="15" t="str">
        <f aca="false">IF(G134="","",ABS(H134-F134))</f>
        <v/>
      </c>
      <c r="K134" s="14"/>
      <c r="L134" s="15" t="str">
        <f aca="false">IF(OR(K134="",D134=""),"",(K134-D134)/D134)</f>
        <v/>
      </c>
      <c r="M134" s="14"/>
      <c r="N134" s="15" t="str">
        <f aca="false">IF(OR(M134="",D134=""),"",(M134-D134)/D134)</f>
        <v/>
      </c>
      <c r="O134" s="16" t="str">
        <f aca="false">IF(M134="","",IF(SIGN(L134)=SIGN(N134),"적중","실패"))</f>
        <v/>
      </c>
      <c r="P134" s="15" t="str">
        <f aca="false">IF(M134="","",ABS(N134-L134))</f>
        <v/>
      </c>
      <c r="Q134" s="13"/>
    </row>
    <row r="135" customFormat="false" ht="15" hidden="false" customHeight="false" outlineLevel="0" collapsed="false">
      <c r="A135" s="13"/>
      <c r="B135" s="13"/>
      <c r="C135" s="13"/>
      <c r="D135" s="14"/>
      <c r="E135" s="14"/>
      <c r="F135" s="15" t="str">
        <f aca="false">IF(OR(E135="",D135=""),"",(E135-D135)/D135)</f>
        <v/>
      </c>
      <c r="G135" s="14"/>
      <c r="H135" s="15" t="str">
        <f aca="false">IF(OR(G135="",D135=""),"",(G135-D135)/D135)</f>
        <v/>
      </c>
      <c r="I135" s="16" t="str">
        <f aca="false">IF(G135="","",IF(SIGN(F135)=SIGN(H135),"적중","실패"))</f>
        <v/>
      </c>
      <c r="J135" s="15" t="str">
        <f aca="false">IF(G135="","",ABS(H135-F135))</f>
        <v/>
      </c>
      <c r="K135" s="14"/>
      <c r="L135" s="15" t="str">
        <f aca="false">IF(OR(K135="",D135=""),"",(K135-D135)/D135)</f>
        <v/>
      </c>
      <c r="M135" s="14"/>
      <c r="N135" s="15" t="str">
        <f aca="false">IF(OR(M135="",D135=""),"",(M135-D135)/D135)</f>
        <v/>
      </c>
      <c r="O135" s="16" t="str">
        <f aca="false">IF(M135="","",IF(SIGN(L135)=SIGN(N135),"적중","실패"))</f>
        <v/>
      </c>
      <c r="P135" s="15" t="str">
        <f aca="false">IF(M135="","",ABS(N135-L135))</f>
        <v/>
      </c>
      <c r="Q135" s="13"/>
    </row>
    <row r="136" customFormat="false" ht="15" hidden="false" customHeight="false" outlineLevel="0" collapsed="false">
      <c r="A136" s="13"/>
      <c r="B136" s="13"/>
      <c r="C136" s="13"/>
      <c r="D136" s="14"/>
      <c r="E136" s="14"/>
      <c r="F136" s="15" t="str">
        <f aca="false">IF(OR(E136="",D136=""),"",(E136-D136)/D136)</f>
        <v/>
      </c>
      <c r="G136" s="14"/>
      <c r="H136" s="15" t="str">
        <f aca="false">IF(OR(G136="",D136=""),"",(G136-D136)/D136)</f>
        <v/>
      </c>
      <c r="I136" s="16" t="str">
        <f aca="false">IF(G136="","",IF(SIGN(F136)=SIGN(H136),"적중","실패"))</f>
        <v/>
      </c>
      <c r="J136" s="15" t="str">
        <f aca="false">IF(G136="","",ABS(H136-F136))</f>
        <v/>
      </c>
      <c r="K136" s="14"/>
      <c r="L136" s="15" t="str">
        <f aca="false">IF(OR(K136="",D136=""),"",(K136-D136)/D136)</f>
        <v/>
      </c>
      <c r="M136" s="14"/>
      <c r="N136" s="15" t="str">
        <f aca="false">IF(OR(M136="",D136=""),"",(M136-D136)/D136)</f>
        <v/>
      </c>
      <c r="O136" s="16" t="str">
        <f aca="false">IF(M136="","",IF(SIGN(L136)=SIGN(N136),"적중","실패"))</f>
        <v/>
      </c>
      <c r="P136" s="15" t="str">
        <f aca="false">IF(M136="","",ABS(N136-L136))</f>
        <v/>
      </c>
      <c r="Q136" s="13"/>
    </row>
    <row r="137" customFormat="false" ht="15" hidden="false" customHeight="false" outlineLevel="0" collapsed="false">
      <c r="A137" s="13"/>
      <c r="B137" s="13"/>
      <c r="C137" s="13"/>
      <c r="D137" s="14"/>
      <c r="E137" s="14"/>
      <c r="F137" s="15" t="str">
        <f aca="false">IF(OR(E137="",D137=""),"",(E137-D137)/D137)</f>
        <v/>
      </c>
      <c r="G137" s="14"/>
      <c r="H137" s="15" t="str">
        <f aca="false">IF(OR(G137="",D137=""),"",(G137-D137)/D137)</f>
        <v/>
      </c>
      <c r="I137" s="16" t="str">
        <f aca="false">IF(G137="","",IF(SIGN(F137)=SIGN(H137),"적중","실패"))</f>
        <v/>
      </c>
      <c r="J137" s="15" t="str">
        <f aca="false">IF(G137="","",ABS(H137-F137))</f>
        <v/>
      </c>
      <c r="K137" s="14"/>
      <c r="L137" s="15" t="str">
        <f aca="false">IF(OR(K137="",D137=""),"",(K137-D137)/D137)</f>
        <v/>
      </c>
      <c r="M137" s="14"/>
      <c r="N137" s="15" t="str">
        <f aca="false">IF(OR(M137="",D137=""),"",(M137-D137)/D137)</f>
        <v/>
      </c>
      <c r="O137" s="16" t="str">
        <f aca="false">IF(M137="","",IF(SIGN(L137)=SIGN(N137),"적중","실패"))</f>
        <v/>
      </c>
      <c r="P137" s="15" t="str">
        <f aca="false">IF(M137="","",ABS(N137-L137))</f>
        <v/>
      </c>
      <c r="Q137" s="13"/>
    </row>
    <row r="138" customFormat="false" ht="15" hidden="false" customHeight="false" outlineLevel="0" collapsed="false">
      <c r="A138" s="13"/>
      <c r="B138" s="13"/>
      <c r="C138" s="13"/>
      <c r="D138" s="14"/>
      <c r="E138" s="14"/>
      <c r="F138" s="15" t="str">
        <f aca="false">IF(OR(E138="",D138=""),"",(E138-D138)/D138)</f>
        <v/>
      </c>
      <c r="G138" s="14"/>
      <c r="H138" s="15" t="str">
        <f aca="false">IF(OR(G138="",D138=""),"",(G138-D138)/D138)</f>
        <v/>
      </c>
      <c r="I138" s="16" t="str">
        <f aca="false">IF(G138="","",IF(SIGN(F138)=SIGN(H138),"적중","실패"))</f>
        <v/>
      </c>
      <c r="J138" s="15" t="str">
        <f aca="false">IF(G138="","",ABS(H138-F138))</f>
        <v/>
      </c>
      <c r="K138" s="14"/>
      <c r="L138" s="15" t="str">
        <f aca="false">IF(OR(K138="",D138=""),"",(K138-D138)/D138)</f>
        <v/>
      </c>
      <c r="M138" s="14"/>
      <c r="N138" s="15" t="str">
        <f aca="false">IF(OR(M138="",D138=""),"",(M138-D138)/D138)</f>
        <v/>
      </c>
      <c r="O138" s="16" t="str">
        <f aca="false">IF(M138="","",IF(SIGN(L138)=SIGN(N138),"적중","실패"))</f>
        <v/>
      </c>
      <c r="P138" s="15" t="str">
        <f aca="false">IF(M138="","",ABS(N138-L138))</f>
        <v/>
      </c>
      <c r="Q138" s="13"/>
    </row>
    <row r="139" customFormat="false" ht="15" hidden="false" customHeight="false" outlineLevel="0" collapsed="false">
      <c r="A139" s="13"/>
      <c r="B139" s="13"/>
      <c r="C139" s="13"/>
      <c r="D139" s="14"/>
      <c r="E139" s="14"/>
      <c r="F139" s="15" t="str">
        <f aca="false">IF(OR(E139="",D139=""),"",(E139-D139)/D139)</f>
        <v/>
      </c>
      <c r="G139" s="14"/>
      <c r="H139" s="15" t="str">
        <f aca="false">IF(OR(G139="",D139=""),"",(G139-D139)/D139)</f>
        <v/>
      </c>
      <c r="I139" s="16" t="str">
        <f aca="false">IF(G139="","",IF(SIGN(F139)=SIGN(H139),"적중","실패"))</f>
        <v/>
      </c>
      <c r="J139" s="15" t="str">
        <f aca="false">IF(G139="","",ABS(H139-F139))</f>
        <v/>
      </c>
      <c r="K139" s="14"/>
      <c r="L139" s="15" t="str">
        <f aca="false">IF(OR(K139="",D139=""),"",(K139-D139)/D139)</f>
        <v/>
      </c>
      <c r="M139" s="14"/>
      <c r="N139" s="15" t="str">
        <f aca="false">IF(OR(M139="",D139=""),"",(M139-D139)/D139)</f>
        <v/>
      </c>
      <c r="O139" s="16" t="str">
        <f aca="false">IF(M139="","",IF(SIGN(L139)=SIGN(N139),"적중","실패"))</f>
        <v/>
      </c>
      <c r="P139" s="15" t="str">
        <f aca="false">IF(M139="","",ABS(N139-L139))</f>
        <v/>
      </c>
      <c r="Q139" s="13"/>
    </row>
    <row r="140" customFormat="false" ht="15" hidden="false" customHeight="false" outlineLevel="0" collapsed="false">
      <c r="A140" s="13"/>
      <c r="B140" s="13"/>
      <c r="C140" s="13"/>
      <c r="D140" s="14"/>
      <c r="E140" s="14"/>
      <c r="F140" s="15" t="str">
        <f aca="false">IF(OR(E140="",D140=""),"",(E140-D140)/D140)</f>
        <v/>
      </c>
      <c r="G140" s="14"/>
      <c r="H140" s="15" t="str">
        <f aca="false">IF(OR(G140="",D140=""),"",(G140-D140)/D140)</f>
        <v/>
      </c>
      <c r="I140" s="16" t="str">
        <f aca="false">IF(G140="","",IF(SIGN(F140)=SIGN(H140),"적중","실패"))</f>
        <v/>
      </c>
      <c r="J140" s="15" t="str">
        <f aca="false">IF(G140="","",ABS(H140-F140))</f>
        <v/>
      </c>
      <c r="K140" s="14"/>
      <c r="L140" s="15" t="str">
        <f aca="false">IF(OR(K140="",D140=""),"",(K140-D140)/D140)</f>
        <v/>
      </c>
      <c r="M140" s="14"/>
      <c r="N140" s="15" t="str">
        <f aca="false">IF(OR(M140="",D140=""),"",(M140-D140)/D140)</f>
        <v/>
      </c>
      <c r="O140" s="16" t="str">
        <f aca="false">IF(M140="","",IF(SIGN(L140)=SIGN(N140),"적중","실패"))</f>
        <v/>
      </c>
      <c r="P140" s="15" t="str">
        <f aca="false">IF(M140="","",ABS(N140-L140))</f>
        <v/>
      </c>
      <c r="Q140" s="13"/>
    </row>
    <row r="141" customFormat="false" ht="15" hidden="false" customHeight="false" outlineLevel="0" collapsed="false">
      <c r="A141" s="13"/>
      <c r="B141" s="13"/>
      <c r="C141" s="13"/>
      <c r="D141" s="14"/>
      <c r="E141" s="14"/>
      <c r="F141" s="15" t="str">
        <f aca="false">IF(OR(E141="",D141=""),"",(E141-D141)/D141)</f>
        <v/>
      </c>
      <c r="G141" s="14"/>
      <c r="H141" s="15" t="str">
        <f aca="false">IF(OR(G141="",D141=""),"",(G141-D141)/D141)</f>
        <v/>
      </c>
      <c r="I141" s="16" t="str">
        <f aca="false">IF(G141="","",IF(SIGN(F141)=SIGN(H141),"적중","실패"))</f>
        <v/>
      </c>
      <c r="J141" s="15" t="str">
        <f aca="false">IF(G141="","",ABS(H141-F141))</f>
        <v/>
      </c>
      <c r="K141" s="14"/>
      <c r="L141" s="15" t="str">
        <f aca="false">IF(OR(K141="",D141=""),"",(K141-D141)/D141)</f>
        <v/>
      </c>
      <c r="M141" s="14"/>
      <c r="N141" s="15" t="str">
        <f aca="false">IF(OR(M141="",D141=""),"",(M141-D141)/D141)</f>
        <v/>
      </c>
      <c r="O141" s="16" t="str">
        <f aca="false">IF(M141="","",IF(SIGN(L141)=SIGN(N141),"적중","실패"))</f>
        <v/>
      </c>
      <c r="P141" s="15" t="str">
        <f aca="false">IF(M141="","",ABS(N141-L141))</f>
        <v/>
      </c>
      <c r="Q141" s="13"/>
    </row>
    <row r="142" customFormat="false" ht="15" hidden="false" customHeight="false" outlineLevel="0" collapsed="false">
      <c r="A142" s="13"/>
      <c r="B142" s="13"/>
      <c r="C142" s="13"/>
      <c r="D142" s="14"/>
      <c r="E142" s="14"/>
      <c r="F142" s="15" t="str">
        <f aca="false">IF(OR(E142="",D142=""),"",(E142-D142)/D142)</f>
        <v/>
      </c>
      <c r="G142" s="14"/>
      <c r="H142" s="15" t="str">
        <f aca="false">IF(OR(G142="",D142=""),"",(G142-D142)/D142)</f>
        <v/>
      </c>
      <c r="I142" s="16" t="str">
        <f aca="false">IF(G142="","",IF(SIGN(F142)=SIGN(H142),"적중","실패"))</f>
        <v/>
      </c>
      <c r="J142" s="15" t="str">
        <f aca="false">IF(G142="","",ABS(H142-F142))</f>
        <v/>
      </c>
      <c r="K142" s="14"/>
      <c r="L142" s="15" t="str">
        <f aca="false">IF(OR(K142="",D142=""),"",(K142-D142)/D142)</f>
        <v/>
      </c>
      <c r="M142" s="14"/>
      <c r="N142" s="15" t="str">
        <f aca="false">IF(OR(M142="",D142=""),"",(M142-D142)/D142)</f>
        <v/>
      </c>
      <c r="O142" s="16" t="str">
        <f aca="false">IF(M142="","",IF(SIGN(L142)=SIGN(N142),"적중","실패"))</f>
        <v/>
      </c>
      <c r="P142" s="15" t="str">
        <f aca="false">IF(M142="","",ABS(N142-L142))</f>
        <v/>
      </c>
      <c r="Q142" s="13"/>
    </row>
    <row r="143" customFormat="false" ht="15" hidden="false" customHeight="false" outlineLevel="0" collapsed="false">
      <c r="A143" s="13"/>
      <c r="B143" s="13"/>
      <c r="C143" s="13"/>
      <c r="D143" s="14"/>
      <c r="E143" s="14"/>
      <c r="F143" s="15" t="str">
        <f aca="false">IF(OR(E143="",D143=""),"",(E143-D143)/D143)</f>
        <v/>
      </c>
      <c r="G143" s="14"/>
      <c r="H143" s="15" t="str">
        <f aca="false">IF(OR(G143="",D143=""),"",(G143-D143)/D143)</f>
        <v/>
      </c>
      <c r="I143" s="16" t="str">
        <f aca="false">IF(G143="","",IF(SIGN(F143)=SIGN(H143),"적중","실패"))</f>
        <v/>
      </c>
      <c r="J143" s="15" t="str">
        <f aca="false">IF(G143="","",ABS(H143-F143))</f>
        <v/>
      </c>
      <c r="K143" s="14"/>
      <c r="L143" s="15" t="str">
        <f aca="false">IF(OR(K143="",D143=""),"",(K143-D143)/D143)</f>
        <v/>
      </c>
      <c r="M143" s="14"/>
      <c r="N143" s="15" t="str">
        <f aca="false">IF(OR(M143="",D143=""),"",(M143-D143)/D143)</f>
        <v/>
      </c>
      <c r="O143" s="16" t="str">
        <f aca="false">IF(M143="","",IF(SIGN(L143)=SIGN(N143),"적중","실패"))</f>
        <v/>
      </c>
      <c r="P143" s="15" t="str">
        <f aca="false">IF(M143="","",ABS(N143-L143))</f>
        <v/>
      </c>
      <c r="Q143" s="13"/>
    </row>
    <row r="144" customFormat="false" ht="15" hidden="false" customHeight="false" outlineLevel="0" collapsed="false">
      <c r="A144" s="13"/>
      <c r="B144" s="13"/>
      <c r="C144" s="13"/>
      <c r="D144" s="14"/>
      <c r="E144" s="14"/>
      <c r="F144" s="15" t="str">
        <f aca="false">IF(OR(E144="",D144=""),"",(E144-D144)/D144)</f>
        <v/>
      </c>
      <c r="G144" s="14"/>
      <c r="H144" s="15" t="str">
        <f aca="false">IF(OR(G144="",D144=""),"",(G144-D144)/D144)</f>
        <v/>
      </c>
      <c r="I144" s="16" t="str">
        <f aca="false">IF(G144="","",IF(SIGN(F144)=SIGN(H144),"적중","실패"))</f>
        <v/>
      </c>
      <c r="J144" s="15" t="str">
        <f aca="false">IF(G144="","",ABS(H144-F144))</f>
        <v/>
      </c>
      <c r="K144" s="14"/>
      <c r="L144" s="15" t="str">
        <f aca="false">IF(OR(K144="",D144=""),"",(K144-D144)/D144)</f>
        <v/>
      </c>
      <c r="M144" s="14"/>
      <c r="N144" s="15" t="str">
        <f aca="false">IF(OR(M144="",D144=""),"",(M144-D144)/D144)</f>
        <v/>
      </c>
      <c r="O144" s="16" t="str">
        <f aca="false">IF(M144="","",IF(SIGN(L144)=SIGN(N144),"적중","실패"))</f>
        <v/>
      </c>
      <c r="P144" s="15" t="str">
        <f aca="false">IF(M144="","",ABS(N144-L144))</f>
        <v/>
      </c>
      <c r="Q144" s="13"/>
    </row>
    <row r="145" customFormat="false" ht="15" hidden="false" customHeight="false" outlineLevel="0" collapsed="false">
      <c r="A145" s="13"/>
      <c r="B145" s="13"/>
      <c r="C145" s="13"/>
      <c r="D145" s="14"/>
      <c r="E145" s="14"/>
      <c r="F145" s="15" t="str">
        <f aca="false">IF(OR(E145="",D145=""),"",(E145-D145)/D145)</f>
        <v/>
      </c>
      <c r="G145" s="14"/>
      <c r="H145" s="15" t="str">
        <f aca="false">IF(OR(G145="",D145=""),"",(G145-D145)/D145)</f>
        <v/>
      </c>
      <c r="I145" s="16" t="str">
        <f aca="false">IF(G145="","",IF(SIGN(F145)=SIGN(H145),"적중","실패"))</f>
        <v/>
      </c>
      <c r="J145" s="15" t="str">
        <f aca="false">IF(G145="","",ABS(H145-F145))</f>
        <v/>
      </c>
      <c r="K145" s="14"/>
      <c r="L145" s="15" t="str">
        <f aca="false">IF(OR(K145="",D145=""),"",(K145-D145)/D145)</f>
        <v/>
      </c>
      <c r="M145" s="14"/>
      <c r="N145" s="15" t="str">
        <f aca="false">IF(OR(M145="",D145=""),"",(M145-D145)/D145)</f>
        <v/>
      </c>
      <c r="O145" s="16" t="str">
        <f aca="false">IF(M145="","",IF(SIGN(L145)=SIGN(N145),"적중","실패"))</f>
        <v/>
      </c>
      <c r="P145" s="15" t="str">
        <f aca="false">IF(M145="","",ABS(N145-L145))</f>
        <v/>
      </c>
      <c r="Q145" s="13"/>
    </row>
    <row r="146" customFormat="false" ht="15" hidden="false" customHeight="false" outlineLevel="0" collapsed="false">
      <c r="A146" s="13"/>
      <c r="B146" s="13"/>
      <c r="C146" s="13"/>
      <c r="D146" s="14"/>
      <c r="E146" s="14"/>
      <c r="F146" s="15" t="str">
        <f aca="false">IF(OR(E146="",D146=""),"",(E146-D146)/D146)</f>
        <v/>
      </c>
      <c r="G146" s="14"/>
      <c r="H146" s="15" t="str">
        <f aca="false">IF(OR(G146="",D146=""),"",(G146-D146)/D146)</f>
        <v/>
      </c>
      <c r="I146" s="16" t="str">
        <f aca="false">IF(G146="","",IF(SIGN(F146)=SIGN(H146),"적중","실패"))</f>
        <v/>
      </c>
      <c r="J146" s="15" t="str">
        <f aca="false">IF(G146="","",ABS(H146-F146))</f>
        <v/>
      </c>
      <c r="K146" s="14"/>
      <c r="L146" s="15" t="str">
        <f aca="false">IF(OR(K146="",D146=""),"",(K146-D146)/D146)</f>
        <v/>
      </c>
      <c r="M146" s="14"/>
      <c r="N146" s="15" t="str">
        <f aca="false">IF(OR(M146="",D146=""),"",(M146-D146)/D146)</f>
        <v/>
      </c>
      <c r="O146" s="16" t="str">
        <f aca="false">IF(M146="","",IF(SIGN(L146)=SIGN(N146),"적중","실패"))</f>
        <v/>
      </c>
      <c r="P146" s="15" t="str">
        <f aca="false">IF(M146="","",ABS(N146-L146))</f>
        <v/>
      </c>
      <c r="Q146" s="13"/>
    </row>
    <row r="147" customFormat="false" ht="15" hidden="false" customHeight="false" outlineLevel="0" collapsed="false">
      <c r="A147" s="13"/>
      <c r="B147" s="13"/>
      <c r="C147" s="13"/>
      <c r="D147" s="14"/>
      <c r="E147" s="14"/>
      <c r="F147" s="15" t="str">
        <f aca="false">IF(OR(E147="",D147=""),"",(E147-D147)/D147)</f>
        <v/>
      </c>
      <c r="G147" s="14"/>
      <c r="H147" s="15" t="str">
        <f aca="false">IF(OR(G147="",D147=""),"",(G147-D147)/D147)</f>
        <v/>
      </c>
      <c r="I147" s="16" t="str">
        <f aca="false">IF(G147="","",IF(SIGN(F147)=SIGN(H147),"적중","실패"))</f>
        <v/>
      </c>
      <c r="J147" s="15" t="str">
        <f aca="false">IF(G147="","",ABS(H147-F147))</f>
        <v/>
      </c>
      <c r="K147" s="14"/>
      <c r="L147" s="15" t="str">
        <f aca="false">IF(OR(K147="",D147=""),"",(K147-D147)/D147)</f>
        <v/>
      </c>
      <c r="M147" s="14"/>
      <c r="N147" s="15" t="str">
        <f aca="false">IF(OR(M147="",D147=""),"",(M147-D147)/D147)</f>
        <v/>
      </c>
      <c r="O147" s="16" t="str">
        <f aca="false">IF(M147="","",IF(SIGN(L147)=SIGN(N147),"적중","실패"))</f>
        <v/>
      </c>
      <c r="P147" s="15" t="str">
        <f aca="false">IF(M147="","",ABS(N147-L147))</f>
        <v/>
      </c>
      <c r="Q147" s="13"/>
    </row>
    <row r="148" customFormat="false" ht="15" hidden="false" customHeight="false" outlineLevel="0" collapsed="false">
      <c r="A148" s="13"/>
      <c r="B148" s="13"/>
      <c r="C148" s="13"/>
      <c r="D148" s="14"/>
      <c r="E148" s="14"/>
      <c r="F148" s="15" t="str">
        <f aca="false">IF(OR(E148="",D148=""),"",(E148-D148)/D148)</f>
        <v/>
      </c>
      <c r="G148" s="14"/>
      <c r="H148" s="15" t="str">
        <f aca="false">IF(OR(G148="",D148=""),"",(G148-D148)/D148)</f>
        <v/>
      </c>
      <c r="I148" s="16" t="str">
        <f aca="false">IF(G148="","",IF(SIGN(F148)=SIGN(H148),"적중","실패"))</f>
        <v/>
      </c>
      <c r="J148" s="15" t="str">
        <f aca="false">IF(G148="","",ABS(H148-F148))</f>
        <v/>
      </c>
      <c r="K148" s="14"/>
      <c r="L148" s="15" t="str">
        <f aca="false">IF(OR(K148="",D148=""),"",(K148-D148)/D148)</f>
        <v/>
      </c>
      <c r="M148" s="14"/>
      <c r="N148" s="15" t="str">
        <f aca="false">IF(OR(M148="",D148=""),"",(M148-D148)/D148)</f>
        <v/>
      </c>
      <c r="O148" s="16" t="str">
        <f aca="false">IF(M148="","",IF(SIGN(L148)=SIGN(N148),"적중","실패"))</f>
        <v/>
      </c>
      <c r="P148" s="15" t="str">
        <f aca="false">IF(M148="","",ABS(N148-L148))</f>
        <v/>
      </c>
      <c r="Q148" s="13"/>
    </row>
    <row r="149" customFormat="false" ht="15" hidden="false" customHeight="false" outlineLevel="0" collapsed="false">
      <c r="A149" s="13"/>
      <c r="B149" s="13"/>
      <c r="C149" s="13"/>
      <c r="D149" s="14"/>
      <c r="E149" s="14"/>
      <c r="F149" s="15" t="str">
        <f aca="false">IF(OR(E149="",D149=""),"",(E149-D149)/D149)</f>
        <v/>
      </c>
      <c r="G149" s="14"/>
      <c r="H149" s="15" t="str">
        <f aca="false">IF(OR(G149="",D149=""),"",(G149-D149)/D149)</f>
        <v/>
      </c>
      <c r="I149" s="16" t="str">
        <f aca="false">IF(G149="","",IF(SIGN(F149)=SIGN(H149),"적중","실패"))</f>
        <v/>
      </c>
      <c r="J149" s="15" t="str">
        <f aca="false">IF(G149="","",ABS(H149-F149))</f>
        <v/>
      </c>
      <c r="K149" s="14"/>
      <c r="L149" s="15" t="str">
        <f aca="false">IF(OR(K149="",D149=""),"",(K149-D149)/D149)</f>
        <v/>
      </c>
      <c r="M149" s="14"/>
      <c r="N149" s="15" t="str">
        <f aca="false">IF(OR(M149="",D149=""),"",(M149-D149)/D149)</f>
        <v/>
      </c>
      <c r="O149" s="16" t="str">
        <f aca="false">IF(M149="","",IF(SIGN(L149)=SIGN(N149),"적중","실패"))</f>
        <v/>
      </c>
      <c r="P149" s="15" t="str">
        <f aca="false">IF(M149="","",ABS(N149-L149))</f>
        <v/>
      </c>
      <c r="Q149" s="13"/>
    </row>
    <row r="150" customFormat="false" ht="15" hidden="false" customHeight="false" outlineLevel="0" collapsed="false">
      <c r="A150" s="13"/>
      <c r="B150" s="13"/>
      <c r="C150" s="13"/>
      <c r="D150" s="14"/>
      <c r="E150" s="14"/>
      <c r="F150" s="15" t="str">
        <f aca="false">IF(OR(E150="",D150=""),"",(E150-D150)/D150)</f>
        <v/>
      </c>
      <c r="G150" s="14"/>
      <c r="H150" s="15" t="str">
        <f aca="false">IF(OR(G150="",D150=""),"",(G150-D150)/D150)</f>
        <v/>
      </c>
      <c r="I150" s="16" t="str">
        <f aca="false">IF(G150="","",IF(SIGN(F150)=SIGN(H150),"적중","실패"))</f>
        <v/>
      </c>
      <c r="J150" s="15" t="str">
        <f aca="false">IF(G150="","",ABS(H150-F150))</f>
        <v/>
      </c>
      <c r="K150" s="14"/>
      <c r="L150" s="15" t="str">
        <f aca="false">IF(OR(K150="",D150=""),"",(K150-D150)/D150)</f>
        <v/>
      </c>
      <c r="M150" s="14"/>
      <c r="N150" s="15" t="str">
        <f aca="false">IF(OR(M150="",D150=""),"",(M150-D150)/D150)</f>
        <v/>
      </c>
      <c r="O150" s="16" t="str">
        <f aca="false">IF(M150="","",IF(SIGN(L150)=SIGN(N150),"적중","실패"))</f>
        <v/>
      </c>
      <c r="P150" s="15" t="str">
        <f aca="false">IF(M150="","",ABS(N150-L150))</f>
        <v/>
      </c>
      <c r="Q150" s="13"/>
    </row>
    <row r="151" customFormat="false" ht="15" hidden="false" customHeight="false" outlineLevel="0" collapsed="false">
      <c r="A151" s="13"/>
      <c r="B151" s="13"/>
      <c r="C151" s="13"/>
      <c r="D151" s="14"/>
      <c r="E151" s="14"/>
      <c r="F151" s="15" t="str">
        <f aca="false">IF(OR(E151="",D151=""),"",(E151-D151)/D151)</f>
        <v/>
      </c>
      <c r="G151" s="14"/>
      <c r="H151" s="15" t="str">
        <f aca="false">IF(OR(G151="",D151=""),"",(G151-D151)/D151)</f>
        <v/>
      </c>
      <c r="I151" s="16" t="str">
        <f aca="false">IF(G151="","",IF(SIGN(F151)=SIGN(H151),"적중","실패"))</f>
        <v/>
      </c>
      <c r="J151" s="15" t="str">
        <f aca="false">IF(G151="","",ABS(H151-F151))</f>
        <v/>
      </c>
      <c r="K151" s="14"/>
      <c r="L151" s="15" t="str">
        <f aca="false">IF(OR(K151="",D151=""),"",(K151-D151)/D151)</f>
        <v/>
      </c>
      <c r="M151" s="14"/>
      <c r="N151" s="15" t="str">
        <f aca="false">IF(OR(M151="",D151=""),"",(M151-D151)/D151)</f>
        <v/>
      </c>
      <c r="O151" s="16" t="str">
        <f aca="false">IF(M151="","",IF(SIGN(L151)=SIGN(N151),"적중","실패"))</f>
        <v/>
      </c>
      <c r="P151" s="15" t="str">
        <f aca="false">IF(M151="","",ABS(N151-L151))</f>
        <v/>
      </c>
      <c r="Q151" s="13"/>
    </row>
    <row r="152" customFormat="false" ht="15" hidden="false" customHeight="false" outlineLevel="0" collapsed="false">
      <c r="A152" s="13"/>
      <c r="B152" s="13"/>
      <c r="C152" s="13"/>
      <c r="D152" s="14"/>
      <c r="E152" s="14"/>
      <c r="F152" s="15" t="str">
        <f aca="false">IF(OR(E152="",D152=""),"",(E152-D152)/D152)</f>
        <v/>
      </c>
      <c r="G152" s="14"/>
      <c r="H152" s="15" t="str">
        <f aca="false">IF(OR(G152="",D152=""),"",(G152-D152)/D152)</f>
        <v/>
      </c>
      <c r="I152" s="16" t="str">
        <f aca="false">IF(G152="","",IF(SIGN(F152)=SIGN(H152),"적중","실패"))</f>
        <v/>
      </c>
      <c r="J152" s="15" t="str">
        <f aca="false">IF(G152="","",ABS(H152-F152))</f>
        <v/>
      </c>
      <c r="K152" s="14"/>
      <c r="L152" s="15" t="str">
        <f aca="false">IF(OR(K152="",D152=""),"",(K152-D152)/D152)</f>
        <v/>
      </c>
      <c r="M152" s="14"/>
      <c r="N152" s="15" t="str">
        <f aca="false">IF(OR(M152="",D152=""),"",(M152-D152)/D152)</f>
        <v/>
      </c>
      <c r="O152" s="16" t="str">
        <f aca="false">IF(M152="","",IF(SIGN(L152)=SIGN(N152),"적중","실패"))</f>
        <v/>
      </c>
      <c r="P152" s="15" t="str">
        <f aca="false">IF(M152="","",ABS(N152-L152))</f>
        <v/>
      </c>
      <c r="Q152" s="13"/>
    </row>
    <row r="153" customFormat="false" ht="15" hidden="false" customHeight="false" outlineLevel="0" collapsed="false">
      <c r="A153" s="13"/>
      <c r="B153" s="13"/>
      <c r="C153" s="13"/>
      <c r="D153" s="14"/>
      <c r="E153" s="14"/>
      <c r="F153" s="15" t="str">
        <f aca="false">IF(OR(E153="",D153=""),"",(E153-D153)/D153)</f>
        <v/>
      </c>
      <c r="G153" s="14"/>
      <c r="H153" s="15" t="str">
        <f aca="false">IF(OR(G153="",D153=""),"",(G153-D153)/D153)</f>
        <v/>
      </c>
      <c r="I153" s="16" t="str">
        <f aca="false">IF(G153="","",IF(SIGN(F153)=SIGN(H153),"적중","실패"))</f>
        <v/>
      </c>
      <c r="J153" s="15" t="str">
        <f aca="false">IF(G153="","",ABS(H153-F153))</f>
        <v/>
      </c>
      <c r="K153" s="14"/>
      <c r="L153" s="15" t="str">
        <f aca="false">IF(OR(K153="",D153=""),"",(K153-D153)/D153)</f>
        <v/>
      </c>
      <c r="M153" s="14"/>
      <c r="N153" s="15" t="str">
        <f aca="false">IF(OR(M153="",D153=""),"",(M153-D153)/D153)</f>
        <v/>
      </c>
      <c r="O153" s="16" t="str">
        <f aca="false">IF(M153="","",IF(SIGN(L153)=SIGN(N153),"적중","실패"))</f>
        <v/>
      </c>
      <c r="P153" s="15" t="str">
        <f aca="false">IF(M153="","",ABS(N153-L153))</f>
        <v/>
      </c>
      <c r="Q153" s="13"/>
    </row>
    <row r="154" customFormat="false" ht="15" hidden="false" customHeight="false" outlineLevel="0" collapsed="false">
      <c r="A154" s="13"/>
      <c r="B154" s="13"/>
      <c r="C154" s="13"/>
      <c r="D154" s="14"/>
      <c r="E154" s="14"/>
      <c r="F154" s="15" t="str">
        <f aca="false">IF(OR(E154="",D154=""),"",(E154-D154)/D154)</f>
        <v/>
      </c>
      <c r="G154" s="14"/>
      <c r="H154" s="15" t="str">
        <f aca="false">IF(OR(G154="",D154=""),"",(G154-D154)/D154)</f>
        <v/>
      </c>
      <c r="I154" s="16" t="str">
        <f aca="false">IF(G154="","",IF(SIGN(F154)=SIGN(H154),"적중","실패"))</f>
        <v/>
      </c>
      <c r="J154" s="15" t="str">
        <f aca="false">IF(G154="","",ABS(H154-F154))</f>
        <v/>
      </c>
      <c r="K154" s="14"/>
      <c r="L154" s="15" t="str">
        <f aca="false">IF(OR(K154="",D154=""),"",(K154-D154)/D154)</f>
        <v/>
      </c>
      <c r="M154" s="14"/>
      <c r="N154" s="15" t="str">
        <f aca="false">IF(OR(M154="",D154=""),"",(M154-D154)/D154)</f>
        <v/>
      </c>
      <c r="O154" s="16" t="str">
        <f aca="false">IF(M154="","",IF(SIGN(L154)=SIGN(N154),"적중","실패"))</f>
        <v/>
      </c>
      <c r="P154" s="15" t="str">
        <f aca="false">IF(M154="","",ABS(N154-L154))</f>
        <v/>
      </c>
      <c r="Q154" s="13"/>
    </row>
    <row r="155" customFormat="false" ht="15" hidden="false" customHeight="false" outlineLevel="0" collapsed="false">
      <c r="A155" s="13"/>
      <c r="B155" s="13"/>
      <c r="C155" s="13"/>
      <c r="D155" s="14"/>
      <c r="E155" s="14"/>
      <c r="F155" s="15" t="str">
        <f aca="false">IF(OR(E155="",D155=""),"",(E155-D155)/D155)</f>
        <v/>
      </c>
      <c r="G155" s="14"/>
      <c r="H155" s="15" t="str">
        <f aca="false">IF(OR(G155="",D155=""),"",(G155-D155)/D155)</f>
        <v/>
      </c>
      <c r="I155" s="16" t="str">
        <f aca="false">IF(G155="","",IF(SIGN(F155)=SIGN(H155),"적중","실패"))</f>
        <v/>
      </c>
      <c r="J155" s="15" t="str">
        <f aca="false">IF(G155="","",ABS(H155-F155))</f>
        <v/>
      </c>
      <c r="K155" s="14"/>
      <c r="L155" s="15" t="str">
        <f aca="false">IF(OR(K155="",D155=""),"",(K155-D155)/D155)</f>
        <v/>
      </c>
      <c r="M155" s="14"/>
      <c r="N155" s="15" t="str">
        <f aca="false">IF(OR(M155="",D155=""),"",(M155-D155)/D155)</f>
        <v/>
      </c>
      <c r="O155" s="16" t="str">
        <f aca="false">IF(M155="","",IF(SIGN(L155)=SIGN(N155),"적중","실패"))</f>
        <v/>
      </c>
      <c r="P155" s="15" t="str">
        <f aca="false">IF(M155="","",ABS(N155-L155))</f>
        <v/>
      </c>
      <c r="Q155" s="13"/>
    </row>
    <row r="156" customFormat="false" ht="15" hidden="false" customHeight="false" outlineLevel="0" collapsed="false">
      <c r="A156" s="13"/>
      <c r="B156" s="13"/>
      <c r="C156" s="13"/>
      <c r="D156" s="14"/>
      <c r="E156" s="14"/>
      <c r="F156" s="15" t="str">
        <f aca="false">IF(OR(E156="",D156=""),"",(E156-D156)/D156)</f>
        <v/>
      </c>
      <c r="G156" s="14"/>
      <c r="H156" s="15" t="str">
        <f aca="false">IF(OR(G156="",D156=""),"",(G156-D156)/D156)</f>
        <v/>
      </c>
      <c r="I156" s="16" t="str">
        <f aca="false">IF(G156="","",IF(SIGN(F156)=SIGN(H156),"적중","실패"))</f>
        <v/>
      </c>
      <c r="J156" s="15" t="str">
        <f aca="false">IF(G156="","",ABS(H156-F156))</f>
        <v/>
      </c>
      <c r="K156" s="14"/>
      <c r="L156" s="15" t="str">
        <f aca="false">IF(OR(K156="",D156=""),"",(K156-D156)/D156)</f>
        <v/>
      </c>
      <c r="M156" s="14"/>
      <c r="N156" s="15" t="str">
        <f aca="false">IF(OR(M156="",D156=""),"",(M156-D156)/D156)</f>
        <v/>
      </c>
      <c r="O156" s="16" t="str">
        <f aca="false">IF(M156="","",IF(SIGN(L156)=SIGN(N156),"적중","실패"))</f>
        <v/>
      </c>
      <c r="P156" s="15" t="str">
        <f aca="false">IF(M156="","",ABS(N156-L156))</f>
        <v/>
      </c>
      <c r="Q156" s="13"/>
    </row>
    <row r="157" customFormat="false" ht="15" hidden="false" customHeight="false" outlineLevel="0" collapsed="false">
      <c r="A157" s="13"/>
      <c r="B157" s="13"/>
      <c r="C157" s="13"/>
      <c r="D157" s="14"/>
      <c r="E157" s="14"/>
      <c r="F157" s="15" t="str">
        <f aca="false">IF(OR(E157="",D157=""),"",(E157-D157)/D157)</f>
        <v/>
      </c>
      <c r="G157" s="14"/>
      <c r="H157" s="15" t="str">
        <f aca="false">IF(OR(G157="",D157=""),"",(G157-D157)/D157)</f>
        <v/>
      </c>
      <c r="I157" s="16" t="str">
        <f aca="false">IF(G157="","",IF(SIGN(F157)=SIGN(H157),"적중","실패"))</f>
        <v/>
      </c>
      <c r="J157" s="15" t="str">
        <f aca="false">IF(G157="","",ABS(H157-F157))</f>
        <v/>
      </c>
      <c r="K157" s="14"/>
      <c r="L157" s="15" t="str">
        <f aca="false">IF(OR(K157="",D157=""),"",(K157-D157)/D157)</f>
        <v/>
      </c>
      <c r="M157" s="14"/>
      <c r="N157" s="15" t="str">
        <f aca="false">IF(OR(M157="",D157=""),"",(M157-D157)/D157)</f>
        <v/>
      </c>
      <c r="O157" s="16" t="str">
        <f aca="false">IF(M157="","",IF(SIGN(L157)=SIGN(N157),"적중","실패"))</f>
        <v/>
      </c>
      <c r="P157" s="15" t="str">
        <f aca="false">IF(M157="","",ABS(N157-L157))</f>
        <v/>
      </c>
      <c r="Q157" s="13"/>
    </row>
    <row r="158" customFormat="false" ht="15" hidden="false" customHeight="false" outlineLevel="0" collapsed="false">
      <c r="A158" s="13"/>
      <c r="B158" s="13"/>
      <c r="C158" s="13"/>
      <c r="D158" s="14"/>
      <c r="E158" s="14"/>
      <c r="F158" s="15" t="str">
        <f aca="false">IF(OR(E158="",D158=""),"",(E158-D158)/D158)</f>
        <v/>
      </c>
      <c r="G158" s="14"/>
      <c r="H158" s="15" t="str">
        <f aca="false">IF(OR(G158="",D158=""),"",(G158-D158)/D158)</f>
        <v/>
      </c>
      <c r="I158" s="16" t="str">
        <f aca="false">IF(G158="","",IF(SIGN(F158)=SIGN(H158),"적중","실패"))</f>
        <v/>
      </c>
      <c r="J158" s="15" t="str">
        <f aca="false">IF(G158="","",ABS(H158-F158))</f>
        <v/>
      </c>
      <c r="K158" s="14"/>
      <c r="L158" s="15" t="str">
        <f aca="false">IF(OR(K158="",D158=""),"",(K158-D158)/D158)</f>
        <v/>
      </c>
      <c r="M158" s="14"/>
      <c r="N158" s="15" t="str">
        <f aca="false">IF(OR(M158="",D158=""),"",(M158-D158)/D158)</f>
        <v/>
      </c>
      <c r="O158" s="16" t="str">
        <f aca="false">IF(M158="","",IF(SIGN(L158)=SIGN(N158),"적중","실패"))</f>
        <v/>
      </c>
      <c r="P158" s="15" t="str">
        <f aca="false">IF(M158="","",ABS(N158-L158))</f>
        <v/>
      </c>
      <c r="Q158" s="13"/>
    </row>
    <row r="159" customFormat="false" ht="15" hidden="false" customHeight="false" outlineLevel="0" collapsed="false">
      <c r="A159" s="13"/>
      <c r="B159" s="13"/>
      <c r="C159" s="13"/>
      <c r="D159" s="14"/>
      <c r="E159" s="14"/>
      <c r="F159" s="15" t="str">
        <f aca="false">IF(OR(E159="",D159=""),"",(E159-D159)/D159)</f>
        <v/>
      </c>
      <c r="G159" s="14"/>
      <c r="H159" s="15" t="str">
        <f aca="false">IF(OR(G159="",D159=""),"",(G159-D159)/D159)</f>
        <v/>
      </c>
      <c r="I159" s="16" t="str">
        <f aca="false">IF(G159="","",IF(SIGN(F159)=SIGN(H159),"적중","실패"))</f>
        <v/>
      </c>
      <c r="J159" s="15" t="str">
        <f aca="false">IF(G159="","",ABS(H159-F159))</f>
        <v/>
      </c>
      <c r="K159" s="14"/>
      <c r="L159" s="15" t="str">
        <f aca="false">IF(OR(K159="",D159=""),"",(K159-D159)/D159)</f>
        <v/>
      </c>
      <c r="M159" s="14"/>
      <c r="N159" s="15" t="str">
        <f aca="false">IF(OR(M159="",D159=""),"",(M159-D159)/D159)</f>
        <v/>
      </c>
      <c r="O159" s="16" t="str">
        <f aca="false">IF(M159="","",IF(SIGN(L159)=SIGN(N159),"적중","실패"))</f>
        <v/>
      </c>
      <c r="P159" s="15" t="str">
        <f aca="false">IF(M159="","",ABS(N159-L159))</f>
        <v/>
      </c>
      <c r="Q159" s="13"/>
    </row>
    <row r="160" customFormat="false" ht="15" hidden="false" customHeight="false" outlineLevel="0" collapsed="false">
      <c r="A160" s="13"/>
      <c r="B160" s="13"/>
      <c r="C160" s="13"/>
      <c r="D160" s="14"/>
      <c r="E160" s="14"/>
      <c r="F160" s="15" t="str">
        <f aca="false">IF(OR(E160="",D160=""),"",(E160-D160)/D160)</f>
        <v/>
      </c>
      <c r="G160" s="14"/>
      <c r="H160" s="15" t="str">
        <f aca="false">IF(OR(G160="",D160=""),"",(G160-D160)/D160)</f>
        <v/>
      </c>
      <c r="I160" s="16" t="str">
        <f aca="false">IF(G160="","",IF(SIGN(F160)=SIGN(H160),"적중","실패"))</f>
        <v/>
      </c>
      <c r="J160" s="15" t="str">
        <f aca="false">IF(G160="","",ABS(H160-F160))</f>
        <v/>
      </c>
      <c r="K160" s="14"/>
      <c r="L160" s="15" t="str">
        <f aca="false">IF(OR(K160="",D160=""),"",(K160-D160)/D160)</f>
        <v/>
      </c>
      <c r="M160" s="14"/>
      <c r="N160" s="15" t="str">
        <f aca="false">IF(OR(M160="",D160=""),"",(M160-D160)/D160)</f>
        <v/>
      </c>
      <c r="O160" s="16" t="str">
        <f aca="false">IF(M160="","",IF(SIGN(L160)=SIGN(N160),"적중","실패"))</f>
        <v/>
      </c>
      <c r="P160" s="15" t="str">
        <f aca="false">IF(M160="","",ABS(N160-L160))</f>
        <v/>
      </c>
      <c r="Q160" s="13"/>
    </row>
    <row r="161" customFormat="false" ht="15" hidden="false" customHeight="false" outlineLevel="0" collapsed="false">
      <c r="A161" s="13"/>
      <c r="B161" s="13"/>
      <c r="C161" s="13"/>
      <c r="D161" s="14"/>
      <c r="E161" s="14"/>
      <c r="F161" s="15" t="str">
        <f aca="false">IF(OR(E161="",D161=""),"",(E161-D161)/D161)</f>
        <v/>
      </c>
      <c r="G161" s="14"/>
      <c r="H161" s="15" t="str">
        <f aca="false">IF(OR(G161="",D161=""),"",(G161-D161)/D161)</f>
        <v/>
      </c>
      <c r="I161" s="16" t="str">
        <f aca="false">IF(G161="","",IF(SIGN(F161)=SIGN(H161),"적중","실패"))</f>
        <v/>
      </c>
      <c r="J161" s="15" t="str">
        <f aca="false">IF(G161="","",ABS(H161-F161))</f>
        <v/>
      </c>
      <c r="K161" s="14"/>
      <c r="L161" s="15" t="str">
        <f aca="false">IF(OR(K161="",D161=""),"",(K161-D161)/D161)</f>
        <v/>
      </c>
      <c r="M161" s="14"/>
      <c r="N161" s="15" t="str">
        <f aca="false">IF(OR(M161="",D161=""),"",(M161-D161)/D161)</f>
        <v/>
      </c>
      <c r="O161" s="16" t="str">
        <f aca="false">IF(M161="","",IF(SIGN(L161)=SIGN(N161),"적중","실패"))</f>
        <v/>
      </c>
      <c r="P161" s="15" t="str">
        <f aca="false">IF(M161="","",ABS(N161-L161))</f>
        <v/>
      </c>
      <c r="Q161" s="13"/>
    </row>
    <row r="162" customFormat="false" ht="15" hidden="false" customHeight="false" outlineLevel="0" collapsed="false">
      <c r="A162" s="13"/>
      <c r="B162" s="13"/>
      <c r="C162" s="13"/>
      <c r="D162" s="14"/>
      <c r="E162" s="14"/>
      <c r="F162" s="15" t="str">
        <f aca="false">IF(OR(E162="",D162=""),"",(E162-D162)/D162)</f>
        <v/>
      </c>
      <c r="G162" s="14"/>
      <c r="H162" s="15" t="str">
        <f aca="false">IF(OR(G162="",D162=""),"",(G162-D162)/D162)</f>
        <v/>
      </c>
      <c r="I162" s="16" t="str">
        <f aca="false">IF(G162="","",IF(SIGN(F162)=SIGN(H162),"적중","실패"))</f>
        <v/>
      </c>
      <c r="J162" s="15" t="str">
        <f aca="false">IF(G162="","",ABS(H162-F162))</f>
        <v/>
      </c>
      <c r="K162" s="14"/>
      <c r="L162" s="15" t="str">
        <f aca="false">IF(OR(K162="",D162=""),"",(K162-D162)/D162)</f>
        <v/>
      </c>
      <c r="M162" s="14"/>
      <c r="N162" s="15" t="str">
        <f aca="false">IF(OR(M162="",D162=""),"",(M162-D162)/D162)</f>
        <v/>
      </c>
      <c r="O162" s="16" t="str">
        <f aca="false">IF(M162="","",IF(SIGN(L162)=SIGN(N162),"적중","실패"))</f>
        <v/>
      </c>
      <c r="P162" s="15" t="str">
        <f aca="false">IF(M162="","",ABS(N162-L162))</f>
        <v/>
      </c>
      <c r="Q162" s="13"/>
    </row>
    <row r="163" customFormat="false" ht="15" hidden="false" customHeight="false" outlineLevel="0" collapsed="false">
      <c r="A163" s="13"/>
      <c r="B163" s="13"/>
      <c r="C163" s="13"/>
      <c r="D163" s="14"/>
      <c r="E163" s="14"/>
      <c r="F163" s="15" t="str">
        <f aca="false">IF(OR(E163="",D163=""),"",(E163-D163)/D163)</f>
        <v/>
      </c>
      <c r="G163" s="14"/>
      <c r="H163" s="15" t="str">
        <f aca="false">IF(OR(G163="",D163=""),"",(G163-D163)/D163)</f>
        <v/>
      </c>
      <c r="I163" s="16" t="str">
        <f aca="false">IF(G163="","",IF(SIGN(F163)=SIGN(H163),"적중","실패"))</f>
        <v/>
      </c>
      <c r="J163" s="15" t="str">
        <f aca="false">IF(G163="","",ABS(H163-F163))</f>
        <v/>
      </c>
      <c r="K163" s="14"/>
      <c r="L163" s="15" t="str">
        <f aca="false">IF(OR(K163="",D163=""),"",(K163-D163)/D163)</f>
        <v/>
      </c>
      <c r="M163" s="14"/>
      <c r="N163" s="15" t="str">
        <f aca="false">IF(OR(M163="",D163=""),"",(M163-D163)/D163)</f>
        <v/>
      </c>
      <c r="O163" s="16" t="str">
        <f aca="false">IF(M163="","",IF(SIGN(L163)=SIGN(N163),"적중","실패"))</f>
        <v/>
      </c>
      <c r="P163" s="15" t="str">
        <f aca="false">IF(M163="","",ABS(N163-L163))</f>
        <v/>
      </c>
      <c r="Q163" s="13"/>
    </row>
    <row r="164" customFormat="false" ht="15" hidden="false" customHeight="false" outlineLevel="0" collapsed="false">
      <c r="A164" s="13"/>
      <c r="B164" s="13"/>
      <c r="C164" s="13"/>
      <c r="D164" s="14"/>
      <c r="E164" s="14"/>
      <c r="F164" s="15" t="str">
        <f aca="false">IF(OR(E164="",D164=""),"",(E164-D164)/D164)</f>
        <v/>
      </c>
      <c r="G164" s="14"/>
      <c r="H164" s="15" t="str">
        <f aca="false">IF(OR(G164="",D164=""),"",(G164-D164)/D164)</f>
        <v/>
      </c>
      <c r="I164" s="16" t="str">
        <f aca="false">IF(G164="","",IF(SIGN(F164)=SIGN(H164),"적중","실패"))</f>
        <v/>
      </c>
      <c r="J164" s="15" t="str">
        <f aca="false">IF(G164="","",ABS(H164-F164))</f>
        <v/>
      </c>
      <c r="K164" s="14"/>
      <c r="L164" s="15" t="str">
        <f aca="false">IF(OR(K164="",D164=""),"",(K164-D164)/D164)</f>
        <v/>
      </c>
      <c r="M164" s="14"/>
      <c r="N164" s="15" t="str">
        <f aca="false">IF(OR(M164="",D164=""),"",(M164-D164)/D164)</f>
        <v/>
      </c>
      <c r="O164" s="16" t="str">
        <f aca="false">IF(M164="","",IF(SIGN(L164)=SIGN(N164),"적중","실패"))</f>
        <v/>
      </c>
      <c r="P164" s="15" t="str">
        <f aca="false">IF(M164="","",ABS(N164-L164))</f>
        <v/>
      </c>
      <c r="Q164" s="13"/>
    </row>
    <row r="165" customFormat="false" ht="15" hidden="false" customHeight="false" outlineLevel="0" collapsed="false">
      <c r="A165" s="13"/>
      <c r="B165" s="13"/>
      <c r="C165" s="13"/>
      <c r="D165" s="14"/>
      <c r="E165" s="14"/>
      <c r="F165" s="15" t="str">
        <f aca="false">IF(OR(E165="",D165=""),"",(E165-D165)/D165)</f>
        <v/>
      </c>
      <c r="G165" s="14"/>
      <c r="H165" s="15" t="str">
        <f aca="false">IF(OR(G165="",D165=""),"",(G165-D165)/D165)</f>
        <v/>
      </c>
      <c r="I165" s="16" t="str">
        <f aca="false">IF(G165="","",IF(SIGN(F165)=SIGN(H165),"적중","실패"))</f>
        <v/>
      </c>
      <c r="J165" s="15" t="str">
        <f aca="false">IF(G165="","",ABS(H165-F165))</f>
        <v/>
      </c>
      <c r="K165" s="14"/>
      <c r="L165" s="15" t="str">
        <f aca="false">IF(OR(K165="",D165=""),"",(K165-D165)/D165)</f>
        <v/>
      </c>
      <c r="M165" s="14"/>
      <c r="N165" s="15" t="str">
        <f aca="false">IF(OR(M165="",D165=""),"",(M165-D165)/D165)</f>
        <v/>
      </c>
      <c r="O165" s="16" t="str">
        <f aca="false">IF(M165="","",IF(SIGN(L165)=SIGN(N165),"적중","실패"))</f>
        <v/>
      </c>
      <c r="P165" s="15" t="str">
        <f aca="false">IF(M165="","",ABS(N165-L165))</f>
        <v/>
      </c>
      <c r="Q165" s="13"/>
    </row>
    <row r="166" customFormat="false" ht="15" hidden="false" customHeight="false" outlineLevel="0" collapsed="false">
      <c r="A166" s="13"/>
      <c r="B166" s="13"/>
      <c r="C166" s="13"/>
      <c r="D166" s="14"/>
      <c r="E166" s="14"/>
      <c r="F166" s="15" t="str">
        <f aca="false">IF(OR(E166="",D166=""),"",(E166-D166)/D166)</f>
        <v/>
      </c>
      <c r="G166" s="14"/>
      <c r="H166" s="15" t="str">
        <f aca="false">IF(OR(G166="",D166=""),"",(G166-D166)/D166)</f>
        <v/>
      </c>
      <c r="I166" s="16" t="str">
        <f aca="false">IF(G166="","",IF(SIGN(F166)=SIGN(H166),"적중","실패"))</f>
        <v/>
      </c>
      <c r="J166" s="15" t="str">
        <f aca="false">IF(G166="","",ABS(H166-F166))</f>
        <v/>
      </c>
      <c r="K166" s="14"/>
      <c r="L166" s="15" t="str">
        <f aca="false">IF(OR(K166="",D166=""),"",(K166-D166)/D166)</f>
        <v/>
      </c>
      <c r="M166" s="14"/>
      <c r="N166" s="15" t="str">
        <f aca="false">IF(OR(M166="",D166=""),"",(M166-D166)/D166)</f>
        <v/>
      </c>
      <c r="O166" s="16" t="str">
        <f aca="false">IF(M166="","",IF(SIGN(L166)=SIGN(N166),"적중","실패"))</f>
        <v/>
      </c>
      <c r="P166" s="15" t="str">
        <f aca="false">IF(M166="","",ABS(N166-L166))</f>
        <v/>
      </c>
      <c r="Q166" s="13"/>
    </row>
    <row r="167" customFormat="false" ht="15" hidden="false" customHeight="false" outlineLevel="0" collapsed="false">
      <c r="A167" s="13"/>
      <c r="B167" s="13"/>
      <c r="C167" s="13"/>
      <c r="D167" s="14"/>
      <c r="E167" s="14"/>
      <c r="F167" s="15" t="str">
        <f aca="false">IF(OR(E167="",D167=""),"",(E167-D167)/D167)</f>
        <v/>
      </c>
      <c r="G167" s="14"/>
      <c r="H167" s="15" t="str">
        <f aca="false">IF(OR(G167="",D167=""),"",(G167-D167)/D167)</f>
        <v/>
      </c>
      <c r="I167" s="16" t="str">
        <f aca="false">IF(G167="","",IF(SIGN(F167)=SIGN(H167),"적중","실패"))</f>
        <v/>
      </c>
      <c r="J167" s="15" t="str">
        <f aca="false">IF(G167="","",ABS(H167-F167))</f>
        <v/>
      </c>
      <c r="K167" s="14"/>
      <c r="L167" s="15" t="str">
        <f aca="false">IF(OR(K167="",D167=""),"",(K167-D167)/D167)</f>
        <v/>
      </c>
      <c r="M167" s="14"/>
      <c r="N167" s="15" t="str">
        <f aca="false">IF(OR(M167="",D167=""),"",(M167-D167)/D167)</f>
        <v/>
      </c>
      <c r="O167" s="16" t="str">
        <f aca="false">IF(M167="","",IF(SIGN(L167)=SIGN(N167),"적중","실패"))</f>
        <v/>
      </c>
      <c r="P167" s="15" t="str">
        <f aca="false">IF(M167="","",ABS(N167-L167))</f>
        <v/>
      </c>
      <c r="Q167" s="13"/>
    </row>
    <row r="168" customFormat="false" ht="15" hidden="false" customHeight="false" outlineLevel="0" collapsed="false">
      <c r="A168" s="13"/>
      <c r="B168" s="13"/>
      <c r="C168" s="13"/>
      <c r="D168" s="14"/>
      <c r="E168" s="14"/>
      <c r="F168" s="15" t="str">
        <f aca="false">IF(OR(E168="",D168=""),"",(E168-D168)/D168)</f>
        <v/>
      </c>
      <c r="G168" s="14"/>
      <c r="H168" s="15" t="str">
        <f aca="false">IF(OR(G168="",D168=""),"",(G168-D168)/D168)</f>
        <v/>
      </c>
      <c r="I168" s="16" t="str">
        <f aca="false">IF(G168="","",IF(SIGN(F168)=SIGN(H168),"적중","실패"))</f>
        <v/>
      </c>
      <c r="J168" s="15" t="str">
        <f aca="false">IF(G168="","",ABS(H168-F168))</f>
        <v/>
      </c>
      <c r="K168" s="14"/>
      <c r="L168" s="15" t="str">
        <f aca="false">IF(OR(K168="",D168=""),"",(K168-D168)/D168)</f>
        <v/>
      </c>
      <c r="M168" s="14"/>
      <c r="N168" s="15" t="str">
        <f aca="false">IF(OR(M168="",D168=""),"",(M168-D168)/D168)</f>
        <v/>
      </c>
      <c r="O168" s="16" t="str">
        <f aca="false">IF(M168="","",IF(SIGN(L168)=SIGN(N168),"적중","실패"))</f>
        <v/>
      </c>
      <c r="P168" s="15" t="str">
        <f aca="false">IF(M168="","",ABS(N168-L168))</f>
        <v/>
      </c>
      <c r="Q168" s="13"/>
    </row>
    <row r="169" customFormat="false" ht="15" hidden="false" customHeight="false" outlineLevel="0" collapsed="false">
      <c r="A169" s="13"/>
      <c r="B169" s="13"/>
      <c r="C169" s="13"/>
      <c r="D169" s="14"/>
      <c r="E169" s="14"/>
      <c r="F169" s="15" t="str">
        <f aca="false">IF(OR(E169="",D169=""),"",(E169-D169)/D169)</f>
        <v/>
      </c>
      <c r="G169" s="14"/>
      <c r="H169" s="15" t="str">
        <f aca="false">IF(OR(G169="",D169=""),"",(G169-D169)/D169)</f>
        <v/>
      </c>
      <c r="I169" s="16" t="str">
        <f aca="false">IF(G169="","",IF(SIGN(F169)=SIGN(H169),"적중","실패"))</f>
        <v/>
      </c>
      <c r="J169" s="15" t="str">
        <f aca="false">IF(G169="","",ABS(H169-F169))</f>
        <v/>
      </c>
      <c r="K169" s="14"/>
      <c r="L169" s="15" t="str">
        <f aca="false">IF(OR(K169="",D169=""),"",(K169-D169)/D169)</f>
        <v/>
      </c>
      <c r="M169" s="14"/>
      <c r="N169" s="15" t="str">
        <f aca="false">IF(OR(M169="",D169=""),"",(M169-D169)/D169)</f>
        <v/>
      </c>
      <c r="O169" s="16" t="str">
        <f aca="false">IF(M169="","",IF(SIGN(L169)=SIGN(N169),"적중","실패"))</f>
        <v/>
      </c>
      <c r="P169" s="15" t="str">
        <f aca="false">IF(M169="","",ABS(N169-L169))</f>
        <v/>
      </c>
      <c r="Q169" s="13"/>
    </row>
    <row r="170" customFormat="false" ht="15" hidden="false" customHeight="false" outlineLevel="0" collapsed="false">
      <c r="A170" s="13"/>
      <c r="B170" s="13"/>
      <c r="C170" s="13"/>
      <c r="D170" s="14"/>
      <c r="E170" s="14"/>
      <c r="F170" s="15" t="str">
        <f aca="false">IF(OR(E170="",D170=""),"",(E170-D170)/D170)</f>
        <v/>
      </c>
      <c r="G170" s="14"/>
      <c r="H170" s="15" t="str">
        <f aca="false">IF(OR(G170="",D170=""),"",(G170-D170)/D170)</f>
        <v/>
      </c>
      <c r="I170" s="16" t="str">
        <f aca="false">IF(G170="","",IF(SIGN(F170)=SIGN(H170),"적중","실패"))</f>
        <v/>
      </c>
      <c r="J170" s="15" t="str">
        <f aca="false">IF(G170="","",ABS(H170-F170))</f>
        <v/>
      </c>
      <c r="K170" s="14"/>
      <c r="L170" s="15" t="str">
        <f aca="false">IF(OR(K170="",D170=""),"",(K170-D170)/D170)</f>
        <v/>
      </c>
      <c r="M170" s="14"/>
      <c r="N170" s="15" t="str">
        <f aca="false">IF(OR(M170="",D170=""),"",(M170-D170)/D170)</f>
        <v/>
      </c>
      <c r="O170" s="16" t="str">
        <f aca="false">IF(M170="","",IF(SIGN(L170)=SIGN(N170),"적중","실패"))</f>
        <v/>
      </c>
      <c r="P170" s="15" t="str">
        <f aca="false">IF(M170="","",ABS(N170-L170))</f>
        <v/>
      </c>
      <c r="Q170" s="13"/>
    </row>
    <row r="171" customFormat="false" ht="15" hidden="false" customHeight="false" outlineLevel="0" collapsed="false">
      <c r="A171" s="13"/>
      <c r="B171" s="13"/>
      <c r="C171" s="13"/>
      <c r="D171" s="14"/>
      <c r="E171" s="14"/>
      <c r="F171" s="15" t="str">
        <f aca="false">IF(OR(E171="",D171=""),"",(E171-D171)/D171)</f>
        <v/>
      </c>
      <c r="G171" s="14"/>
      <c r="H171" s="15" t="str">
        <f aca="false">IF(OR(G171="",D171=""),"",(G171-D171)/D171)</f>
        <v/>
      </c>
      <c r="I171" s="16" t="str">
        <f aca="false">IF(G171="","",IF(SIGN(F171)=SIGN(H171),"적중","실패"))</f>
        <v/>
      </c>
      <c r="J171" s="15" t="str">
        <f aca="false">IF(G171="","",ABS(H171-F171))</f>
        <v/>
      </c>
      <c r="K171" s="14"/>
      <c r="L171" s="15" t="str">
        <f aca="false">IF(OR(K171="",D171=""),"",(K171-D171)/D171)</f>
        <v/>
      </c>
      <c r="M171" s="14"/>
      <c r="N171" s="15" t="str">
        <f aca="false">IF(OR(M171="",D171=""),"",(M171-D171)/D171)</f>
        <v/>
      </c>
      <c r="O171" s="16" t="str">
        <f aca="false">IF(M171="","",IF(SIGN(L171)=SIGN(N171),"적중","실패"))</f>
        <v/>
      </c>
      <c r="P171" s="15" t="str">
        <f aca="false">IF(M171="","",ABS(N171-L171))</f>
        <v/>
      </c>
      <c r="Q171" s="13"/>
    </row>
    <row r="172" customFormat="false" ht="15" hidden="false" customHeight="false" outlineLevel="0" collapsed="false">
      <c r="A172" s="13"/>
      <c r="B172" s="13"/>
      <c r="C172" s="13"/>
      <c r="D172" s="14"/>
      <c r="E172" s="14"/>
      <c r="F172" s="15" t="str">
        <f aca="false">IF(OR(E172="",D172=""),"",(E172-D172)/D172)</f>
        <v/>
      </c>
      <c r="G172" s="14"/>
      <c r="H172" s="15" t="str">
        <f aca="false">IF(OR(G172="",D172=""),"",(G172-D172)/D172)</f>
        <v/>
      </c>
      <c r="I172" s="16" t="str">
        <f aca="false">IF(G172="","",IF(SIGN(F172)=SIGN(H172),"적중","실패"))</f>
        <v/>
      </c>
      <c r="J172" s="15" t="str">
        <f aca="false">IF(G172="","",ABS(H172-F172))</f>
        <v/>
      </c>
      <c r="K172" s="14"/>
      <c r="L172" s="15" t="str">
        <f aca="false">IF(OR(K172="",D172=""),"",(K172-D172)/D172)</f>
        <v/>
      </c>
      <c r="M172" s="14"/>
      <c r="N172" s="15" t="str">
        <f aca="false">IF(OR(M172="",D172=""),"",(M172-D172)/D172)</f>
        <v/>
      </c>
      <c r="O172" s="16" t="str">
        <f aca="false">IF(M172="","",IF(SIGN(L172)=SIGN(N172),"적중","실패"))</f>
        <v/>
      </c>
      <c r="P172" s="15" t="str">
        <f aca="false">IF(M172="","",ABS(N172-L172))</f>
        <v/>
      </c>
      <c r="Q172" s="13"/>
    </row>
    <row r="173" customFormat="false" ht="15" hidden="false" customHeight="false" outlineLevel="0" collapsed="false">
      <c r="A173" s="13"/>
      <c r="B173" s="13"/>
      <c r="C173" s="13"/>
      <c r="D173" s="14"/>
      <c r="E173" s="14"/>
      <c r="F173" s="15" t="str">
        <f aca="false">IF(OR(E173="",D173=""),"",(E173-D173)/D173)</f>
        <v/>
      </c>
      <c r="G173" s="14"/>
      <c r="H173" s="15" t="str">
        <f aca="false">IF(OR(G173="",D173=""),"",(G173-D173)/D173)</f>
        <v/>
      </c>
      <c r="I173" s="16" t="str">
        <f aca="false">IF(G173="","",IF(SIGN(F173)=SIGN(H173),"적중","실패"))</f>
        <v/>
      </c>
      <c r="J173" s="15" t="str">
        <f aca="false">IF(G173="","",ABS(H173-F173))</f>
        <v/>
      </c>
      <c r="K173" s="14"/>
      <c r="L173" s="15" t="str">
        <f aca="false">IF(OR(K173="",D173=""),"",(K173-D173)/D173)</f>
        <v/>
      </c>
      <c r="M173" s="14"/>
      <c r="N173" s="15" t="str">
        <f aca="false">IF(OR(M173="",D173=""),"",(M173-D173)/D173)</f>
        <v/>
      </c>
      <c r="O173" s="16" t="str">
        <f aca="false">IF(M173="","",IF(SIGN(L173)=SIGN(N173),"적중","실패"))</f>
        <v/>
      </c>
      <c r="P173" s="15" t="str">
        <f aca="false">IF(M173="","",ABS(N173-L173))</f>
        <v/>
      </c>
      <c r="Q173" s="13"/>
    </row>
    <row r="174" customFormat="false" ht="15" hidden="false" customHeight="false" outlineLevel="0" collapsed="false">
      <c r="A174" s="13"/>
      <c r="B174" s="13"/>
      <c r="C174" s="13"/>
      <c r="D174" s="14"/>
      <c r="E174" s="14"/>
      <c r="F174" s="15" t="str">
        <f aca="false">IF(OR(E174="",D174=""),"",(E174-D174)/D174)</f>
        <v/>
      </c>
      <c r="G174" s="14"/>
      <c r="H174" s="15" t="str">
        <f aca="false">IF(OR(G174="",D174=""),"",(G174-D174)/D174)</f>
        <v/>
      </c>
      <c r="I174" s="16" t="str">
        <f aca="false">IF(G174="","",IF(SIGN(F174)=SIGN(H174),"적중","실패"))</f>
        <v/>
      </c>
      <c r="J174" s="15" t="str">
        <f aca="false">IF(G174="","",ABS(H174-F174))</f>
        <v/>
      </c>
      <c r="K174" s="14"/>
      <c r="L174" s="15" t="str">
        <f aca="false">IF(OR(K174="",D174=""),"",(K174-D174)/D174)</f>
        <v/>
      </c>
      <c r="M174" s="14"/>
      <c r="N174" s="15" t="str">
        <f aca="false">IF(OR(M174="",D174=""),"",(M174-D174)/D174)</f>
        <v/>
      </c>
      <c r="O174" s="16" t="str">
        <f aca="false">IF(M174="","",IF(SIGN(L174)=SIGN(N174),"적중","실패"))</f>
        <v/>
      </c>
      <c r="P174" s="15" t="str">
        <f aca="false">IF(M174="","",ABS(N174-L174))</f>
        <v/>
      </c>
      <c r="Q174" s="13"/>
    </row>
    <row r="175" customFormat="false" ht="15" hidden="false" customHeight="false" outlineLevel="0" collapsed="false">
      <c r="A175" s="13"/>
      <c r="B175" s="13"/>
      <c r="C175" s="13"/>
      <c r="D175" s="14"/>
      <c r="E175" s="14"/>
      <c r="F175" s="15" t="str">
        <f aca="false">IF(OR(E175="",D175=""),"",(E175-D175)/D175)</f>
        <v/>
      </c>
      <c r="G175" s="14"/>
      <c r="H175" s="15" t="str">
        <f aca="false">IF(OR(G175="",D175=""),"",(G175-D175)/D175)</f>
        <v/>
      </c>
      <c r="I175" s="16" t="str">
        <f aca="false">IF(G175="","",IF(SIGN(F175)=SIGN(H175),"적중","실패"))</f>
        <v/>
      </c>
      <c r="J175" s="15" t="str">
        <f aca="false">IF(G175="","",ABS(H175-F175))</f>
        <v/>
      </c>
      <c r="K175" s="14"/>
      <c r="L175" s="15" t="str">
        <f aca="false">IF(OR(K175="",D175=""),"",(K175-D175)/D175)</f>
        <v/>
      </c>
      <c r="M175" s="14"/>
      <c r="N175" s="15" t="str">
        <f aca="false">IF(OR(M175="",D175=""),"",(M175-D175)/D175)</f>
        <v/>
      </c>
      <c r="O175" s="16" t="str">
        <f aca="false">IF(M175="","",IF(SIGN(L175)=SIGN(N175),"적중","실패"))</f>
        <v/>
      </c>
      <c r="P175" s="15" t="str">
        <f aca="false">IF(M175="","",ABS(N175-L175))</f>
        <v/>
      </c>
      <c r="Q175" s="13"/>
    </row>
    <row r="176" customFormat="false" ht="15" hidden="false" customHeight="false" outlineLevel="0" collapsed="false">
      <c r="A176" s="13"/>
      <c r="B176" s="13"/>
      <c r="C176" s="13"/>
      <c r="D176" s="14"/>
      <c r="E176" s="14"/>
      <c r="F176" s="15" t="str">
        <f aca="false">IF(OR(E176="",D176=""),"",(E176-D176)/D176)</f>
        <v/>
      </c>
      <c r="G176" s="14"/>
      <c r="H176" s="15" t="str">
        <f aca="false">IF(OR(G176="",D176=""),"",(G176-D176)/D176)</f>
        <v/>
      </c>
      <c r="I176" s="16" t="str">
        <f aca="false">IF(G176="","",IF(SIGN(F176)=SIGN(H176),"적중","실패"))</f>
        <v/>
      </c>
      <c r="J176" s="15" t="str">
        <f aca="false">IF(G176="","",ABS(H176-F176))</f>
        <v/>
      </c>
      <c r="K176" s="14"/>
      <c r="L176" s="15" t="str">
        <f aca="false">IF(OR(K176="",D176=""),"",(K176-D176)/D176)</f>
        <v/>
      </c>
      <c r="M176" s="14"/>
      <c r="N176" s="15" t="str">
        <f aca="false">IF(OR(M176="",D176=""),"",(M176-D176)/D176)</f>
        <v/>
      </c>
      <c r="O176" s="16" t="str">
        <f aca="false">IF(M176="","",IF(SIGN(L176)=SIGN(N176),"적중","실패"))</f>
        <v/>
      </c>
      <c r="P176" s="15" t="str">
        <f aca="false">IF(M176="","",ABS(N176-L176))</f>
        <v/>
      </c>
      <c r="Q176" s="13"/>
    </row>
    <row r="177" customFormat="false" ht="15" hidden="false" customHeight="false" outlineLevel="0" collapsed="false">
      <c r="A177" s="13"/>
      <c r="B177" s="13"/>
      <c r="C177" s="13"/>
      <c r="D177" s="14"/>
      <c r="E177" s="14"/>
      <c r="F177" s="15" t="str">
        <f aca="false">IF(OR(E177="",D177=""),"",(E177-D177)/D177)</f>
        <v/>
      </c>
      <c r="G177" s="14"/>
      <c r="H177" s="15" t="str">
        <f aca="false">IF(OR(G177="",D177=""),"",(G177-D177)/D177)</f>
        <v/>
      </c>
      <c r="I177" s="16" t="str">
        <f aca="false">IF(G177="","",IF(SIGN(F177)=SIGN(H177),"적중","실패"))</f>
        <v/>
      </c>
      <c r="J177" s="15" t="str">
        <f aca="false">IF(G177="","",ABS(H177-F177))</f>
        <v/>
      </c>
      <c r="K177" s="14"/>
      <c r="L177" s="15" t="str">
        <f aca="false">IF(OR(K177="",D177=""),"",(K177-D177)/D177)</f>
        <v/>
      </c>
      <c r="M177" s="14"/>
      <c r="N177" s="15" t="str">
        <f aca="false">IF(OR(M177="",D177=""),"",(M177-D177)/D177)</f>
        <v/>
      </c>
      <c r="O177" s="16" t="str">
        <f aca="false">IF(M177="","",IF(SIGN(L177)=SIGN(N177),"적중","실패"))</f>
        <v/>
      </c>
      <c r="P177" s="15" t="str">
        <f aca="false">IF(M177="","",ABS(N177-L177))</f>
        <v/>
      </c>
      <c r="Q177" s="13"/>
    </row>
    <row r="178" customFormat="false" ht="15" hidden="false" customHeight="false" outlineLevel="0" collapsed="false">
      <c r="A178" s="13"/>
      <c r="B178" s="13"/>
      <c r="C178" s="13"/>
      <c r="D178" s="14"/>
      <c r="E178" s="14"/>
      <c r="F178" s="15" t="str">
        <f aca="false">IF(OR(E178="",D178=""),"",(E178-D178)/D178)</f>
        <v/>
      </c>
      <c r="G178" s="14"/>
      <c r="H178" s="15" t="str">
        <f aca="false">IF(OR(G178="",D178=""),"",(G178-D178)/D178)</f>
        <v/>
      </c>
      <c r="I178" s="16" t="str">
        <f aca="false">IF(G178="","",IF(SIGN(F178)=SIGN(H178),"적중","실패"))</f>
        <v/>
      </c>
      <c r="J178" s="15" t="str">
        <f aca="false">IF(G178="","",ABS(H178-F178))</f>
        <v/>
      </c>
      <c r="K178" s="14"/>
      <c r="L178" s="15" t="str">
        <f aca="false">IF(OR(K178="",D178=""),"",(K178-D178)/D178)</f>
        <v/>
      </c>
      <c r="M178" s="14"/>
      <c r="N178" s="15" t="str">
        <f aca="false">IF(OR(M178="",D178=""),"",(M178-D178)/D178)</f>
        <v/>
      </c>
      <c r="O178" s="16" t="str">
        <f aca="false">IF(M178="","",IF(SIGN(L178)=SIGN(N178),"적중","실패"))</f>
        <v/>
      </c>
      <c r="P178" s="15" t="str">
        <f aca="false">IF(M178="","",ABS(N178-L178))</f>
        <v/>
      </c>
      <c r="Q178" s="13"/>
    </row>
    <row r="179" customFormat="false" ht="15" hidden="false" customHeight="false" outlineLevel="0" collapsed="false">
      <c r="A179" s="13"/>
      <c r="B179" s="13"/>
      <c r="C179" s="13"/>
      <c r="D179" s="14"/>
      <c r="E179" s="14"/>
      <c r="F179" s="15" t="str">
        <f aca="false">IF(OR(E179="",D179=""),"",(E179-D179)/D179)</f>
        <v/>
      </c>
      <c r="G179" s="14"/>
      <c r="H179" s="15" t="str">
        <f aca="false">IF(OR(G179="",D179=""),"",(G179-D179)/D179)</f>
        <v/>
      </c>
      <c r="I179" s="16" t="str">
        <f aca="false">IF(G179="","",IF(SIGN(F179)=SIGN(H179),"적중","실패"))</f>
        <v/>
      </c>
      <c r="J179" s="15" t="str">
        <f aca="false">IF(G179="","",ABS(H179-F179))</f>
        <v/>
      </c>
      <c r="K179" s="14"/>
      <c r="L179" s="15" t="str">
        <f aca="false">IF(OR(K179="",D179=""),"",(K179-D179)/D179)</f>
        <v/>
      </c>
      <c r="M179" s="14"/>
      <c r="N179" s="15" t="str">
        <f aca="false">IF(OR(M179="",D179=""),"",(M179-D179)/D179)</f>
        <v/>
      </c>
      <c r="O179" s="16" t="str">
        <f aca="false">IF(M179="","",IF(SIGN(L179)=SIGN(N179),"적중","실패"))</f>
        <v/>
      </c>
      <c r="P179" s="15" t="str">
        <f aca="false">IF(M179="","",ABS(N179-L179))</f>
        <v/>
      </c>
      <c r="Q179" s="13"/>
    </row>
    <row r="180" customFormat="false" ht="15" hidden="false" customHeight="false" outlineLevel="0" collapsed="false">
      <c r="A180" s="13"/>
      <c r="B180" s="13"/>
      <c r="C180" s="13"/>
      <c r="D180" s="14"/>
      <c r="E180" s="14"/>
      <c r="F180" s="15" t="str">
        <f aca="false">IF(OR(E180="",D180=""),"",(E180-D180)/D180)</f>
        <v/>
      </c>
      <c r="G180" s="14"/>
      <c r="H180" s="15" t="str">
        <f aca="false">IF(OR(G180="",D180=""),"",(G180-D180)/D180)</f>
        <v/>
      </c>
      <c r="I180" s="16" t="str">
        <f aca="false">IF(G180="","",IF(SIGN(F180)=SIGN(H180),"적중","실패"))</f>
        <v/>
      </c>
      <c r="J180" s="15" t="str">
        <f aca="false">IF(G180="","",ABS(H180-F180))</f>
        <v/>
      </c>
      <c r="K180" s="14"/>
      <c r="L180" s="15" t="str">
        <f aca="false">IF(OR(K180="",D180=""),"",(K180-D180)/D180)</f>
        <v/>
      </c>
      <c r="M180" s="14"/>
      <c r="N180" s="15" t="str">
        <f aca="false">IF(OR(M180="",D180=""),"",(M180-D180)/D180)</f>
        <v/>
      </c>
      <c r="O180" s="16" t="str">
        <f aca="false">IF(M180="","",IF(SIGN(L180)=SIGN(N180),"적중","실패"))</f>
        <v/>
      </c>
      <c r="P180" s="15" t="str">
        <f aca="false">IF(M180="","",ABS(N180-L180))</f>
        <v/>
      </c>
      <c r="Q180" s="13"/>
    </row>
    <row r="181" customFormat="false" ht="15" hidden="false" customHeight="false" outlineLevel="0" collapsed="false">
      <c r="A181" s="13"/>
      <c r="B181" s="13"/>
      <c r="C181" s="13"/>
      <c r="D181" s="14"/>
      <c r="E181" s="14"/>
      <c r="F181" s="15" t="str">
        <f aca="false">IF(OR(E181="",D181=""),"",(E181-D181)/D181)</f>
        <v/>
      </c>
      <c r="G181" s="14"/>
      <c r="H181" s="15" t="str">
        <f aca="false">IF(OR(G181="",D181=""),"",(G181-D181)/D181)</f>
        <v/>
      </c>
      <c r="I181" s="16" t="str">
        <f aca="false">IF(G181="","",IF(SIGN(F181)=SIGN(H181),"적중","실패"))</f>
        <v/>
      </c>
      <c r="J181" s="15" t="str">
        <f aca="false">IF(G181="","",ABS(H181-F181))</f>
        <v/>
      </c>
      <c r="K181" s="14"/>
      <c r="L181" s="15" t="str">
        <f aca="false">IF(OR(K181="",D181=""),"",(K181-D181)/D181)</f>
        <v/>
      </c>
      <c r="M181" s="14"/>
      <c r="N181" s="15" t="str">
        <f aca="false">IF(OR(M181="",D181=""),"",(M181-D181)/D181)</f>
        <v/>
      </c>
      <c r="O181" s="16" t="str">
        <f aca="false">IF(M181="","",IF(SIGN(L181)=SIGN(N181),"적중","실패"))</f>
        <v/>
      </c>
      <c r="P181" s="15" t="str">
        <f aca="false">IF(M181="","",ABS(N181-L181))</f>
        <v/>
      </c>
      <c r="Q181" s="13"/>
    </row>
    <row r="182" customFormat="false" ht="15" hidden="false" customHeight="false" outlineLevel="0" collapsed="false">
      <c r="A182" s="13"/>
      <c r="B182" s="13"/>
      <c r="C182" s="13"/>
      <c r="D182" s="14"/>
      <c r="E182" s="14"/>
      <c r="F182" s="15" t="str">
        <f aca="false">IF(OR(E182="",D182=""),"",(E182-D182)/D182)</f>
        <v/>
      </c>
      <c r="G182" s="14"/>
      <c r="H182" s="15" t="str">
        <f aca="false">IF(OR(G182="",D182=""),"",(G182-D182)/D182)</f>
        <v/>
      </c>
      <c r="I182" s="16" t="str">
        <f aca="false">IF(G182="","",IF(SIGN(F182)=SIGN(H182),"적중","실패"))</f>
        <v/>
      </c>
      <c r="J182" s="15" t="str">
        <f aca="false">IF(G182="","",ABS(H182-F182))</f>
        <v/>
      </c>
      <c r="K182" s="14"/>
      <c r="L182" s="15" t="str">
        <f aca="false">IF(OR(K182="",D182=""),"",(K182-D182)/D182)</f>
        <v/>
      </c>
      <c r="M182" s="14"/>
      <c r="N182" s="15" t="str">
        <f aca="false">IF(OR(M182="",D182=""),"",(M182-D182)/D182)</f>
        <v/>
      </c>
      <c r="O182" s="16" t="str">
        <f aca="false">IF(M182="","",IF(SIGN(L182)=SIGN(N182),"적중","실패"))</f>
        <v/>
      </c>
      <c r="P182" s="15" t="str">
        <f aca="false">IF(M182="","",ABS(N182-L182))</f>
        <v/>
      </c>
      <c r="Q182" s="13"/>
    </row>
    <row r="183" customFormat="false" ht="15" hidden="false" customHeight="false" outlineLevel="0" collapsed="false">
      <c r="A183" s="13"/>
      <c r="B183" s="13"/>
      <c r="C183" s="13"/>
      <c r="D183" s="14"/>
      <c r="E183" s="14"/>
      <c r="F183" s="15" t="str">
        <f aca="false">IF(OR(E183="",D183=""),"",(E183-D183)/D183)</f>
        <v/>
      </c>
      <c r="G183" s="14"/>
      <c r="H183" s="15" t="str">
        <f aca="false">IF(OR(G183="",D183=""),"",(G183-D183)/D183)</f>
        <v/>
      </c>
      <c r="I183" s="16" t="str">
        <f aca="false">IF(G183="","",IF(SIGN(F183)=SIGN(H183),"적중","실패"))</f>
        <v/>
      </c>
      <c r="J183" s="15" t="str">
        <f aca="false">IF(G183="","",ABS(H183-F183))</f>
        <v/>
      </c>
      <c r="K183" s="14"/>
      <c r="L183" s="15" t="str">
        <f aca="false">IF(OR(K183="",D183=""),"",(K183-D183)/D183)</f>
        <v/>
      </c>
      <c r="M183" s="14"/>
      <c r="N183" s="15" t="str">
        <f aca="false">IF(OR(M183="",D183=""),"",(M183-D183)/D183)</f>
        <v/>
      </c>
      <c r="O183" s="16" t="str">
        <f aca="false">IF(M183="","",IF(SIGN(L183)=SIGN(N183),"적중","실패"))</f>
        <v/>
      </c>
      <c r="P183" s="15" t="str">
        <f aca="false">IF(M183="","",ABS(N183-L183))</f>
        <v/>
      </c>
      <c r="Q183" s="13"/>
    </row>
    <row r="184" customFormat="false" ht="15" hidden="false" customHeight="false" outlineLevel="0" collapsed="false">
      <c r="A184" s="13"/>
      <c r="B184" s="13"/>
      <c r="C184" s="13"/>
      <c r="D184" s="14"/>
      <c r="E184" s="14"/>
      <c r="F184" s="15" t="str">
        <f aca="false">IF(OR(E184="",D184=""),"",(E184-D184)/D184)</f>
        <v/>
      </c>
      <c r="G184" s="14"/>
      <c r="H184" s="15" t="str">
        <f aca="false">IF(OR(G184="",D184=""),"",(G184-D184)/D184)</f>
        <v/>
      </c>
      <c r="I184" s="16" t="str">
        <f aca="false">IF(G184="","",IF(SIGN(F184)=SIGN(H184),"적중","실패"))</f>
        <v/>
      </c>
      <c r="J184" s="15" t="str">
        <f aca="false">IF(G184="","",ABS(H184-F184))</f>
        <v/>
      </c>
      <c r="K184" s="14"/>
      <c r="L184" s="15" t="str">
        <f aca="false">IF(OR(K184="",D184=""),"",(K184-D184)/D184)</f>
        <v/>
      </c>
      <c r="M184" s="14"/>
      <c r="N184" s="15" t="str">
        <f aca="false">IF(OR(M184="",D184=""),"",(M184-D184)/D184)</f>
        <v/>
      </c>
      <c r="O184" s="16" t="str">
        <f aca="false">IF(M184="","",IF(SIGN(L184)=SIGN(N184),"적중","실패"))</f>
        <v/>
      </c>
      <c r="P184" s="15" t="str">
        <f aca="false">IF(M184="","",ABS(N184-L184))</f>
        <v/>
      </c>
      <c r="Q184" s="13"/>
    </row>
    <row r="185" customFormat="false" ht="15" hidden="false" customHeight="false" outlineLevel="0" collapsed="false">
      <c r="A185" s="13"/>
      <c r="B185" s="13"/>
      <c r="C185" s="13"/>
      <c r="D185" s="14"/>
      <c r="E185" s="14"/>
      <c r="F185" s="15" t="str">
        <f aca="false">IF(OR(E185="",D185=""),"",(E185-D185)/D185)</f>
        <v/>
      </c>
      <c r="G185" s="14"/>
      <c r="H185" s="15" t="str">
        <f aca="false">IF(OR(G185="",D185=""),"",(G185-D185)/D185)</f>
        <v/>
      </c>
      <c r="I185" s="16" t="str">
        <f aca="false">IF(G185="","",IF(SIGN(F185)=SIGN(H185),"적중","실패"))</f>
        <v/>
      </c>
      <c r="J185" s="15" t="str">
        <f aca="false">IF(G185="","",ABS(H185-F185))</f>
        <v/>
      </c>
      <c r="K185" s="14"/>
      <c r="L185" s="15" t="str">
        <f aca="false">IF(OR(K185="",D185=""),"",(K185-D185)/D185)</f>
        <v/>
      </c>
      <c r="M185" s="14"/>
      <c r="N185" s="15" t="str">
        <f aca="false">IF(OR(M185="",D185=""),"",(M185-D185)/D185)</f>
        <v/>
      </c>
      <c r="O185" s="16" t="str">
        <f aca="false">IF(M185="","",IF(SIGN(L185)=SIGN(N185),"적중","실패"))</f>
        <v/>
      </c>
      <c r="P185" s="15" t="str">
        <f aca="false">IF(M185="","",ABS(N185-L185))</f>
        <v/>
      </c>
      <c r="Q185" s="13"/>
    </row>
    <row r="186" customFormat="false" ht="15" hidden="false" customHeight="false" outlineLevel="0" collapsed="false">
      <c r="A186" s="13"/>
      <c r="B186" s="13"/>
      <c r="C186" s="13"/>
      <c r="D186" s="14"/>
      <c r="E186" s="14"/>
      <c r="F186" s="15" t="str">
        <f aca="false">IF(OR(E186="",D186=""),"",(E186-D186)/D186)</f>
        <v/>
      </c>
      <c r="G186" s="14"/>
      <c r="H186" s="15" t="str">
        <f aca="false">IF(OR(G186="",D186=""),"",(G186-D186)/D186)</f>
        <v/>
      </c>
      <c r="I186" s="16" t="str">
        <f aca="false">IF(G186="","",IF(SIGN(F186)=SIGN(H186),"적중","실패"))</f>
        <v/>
      </c>
      <c r="J186" s="15" t="str">
        <f aca="false">IF(G186="","",ABS(H186-F186))</f>
        <v/>
      </c>
      <c r="K186" s="14"/>
      <c r="L186" s="15" t="str">
        <f aca="false">IF(OR(K186="",D186=""),"",(K186-D186)/D186)</f>
        <v/>
      </c>
      <c r="M186" s="14"/>
      <c r="N186" s="15" t="str">
        <f aca="false">IF(OR(M186="",D186=""),"",(M186-D186)/D186)</f>
        <v/>
      </c>
      <c r="O186" s="16" t="str">
        <f aca="false">IF(M186="","",IF(SIGN(L186)=SIGN(N186),"적중","실패"))</f>
        <v/>
      </c>
      <c r="P186" s="15" t="str">
        <f aca="false">IF(M186="","",ABS(N186-L186))</f>
        <v/>
      </c>
      <c r="Q186" s="13"/>
    </row>
    <row r="187" customFormat="false" ht="15" hidden="false" customHeight="false" outlineLevel="0" collapsed="false">
      <c r="A187" s="13"/>
      <c r="B187" s="13"/>
      <c r="C187" s="13"/>
      <c r="D187" s="14"/>
      <c r="E187" s="14"/>
      <c r="F187" s="15" t="str">
        <f aca="false">IF(OR(E187="",D187=""),"",(E187-D187)/D187)</f>
        <v/>
      </c>
      <c r="G187" s="14"/>
      <c r="H187" s="15" t="str">
        <f aca="false">IF(OR(G187="",D187=""),"",(G187-D187)/D187)</f>
        <v/>
      </c>
      <c r="I187" s="16" t="str">
        <f aca="false">IF(G187="","",IF(SIGN(F187)=SIGN(H187),"적중","실패"))</f>
        <v/>
      </c>
      <c r="J187" s="15" t="str">
        <f aca="false">IF(G187="","",ABS(H187-F187))</f>
        <v/>
      </c>
      <c r="K187" s="14"/>
      <c r="L187" s="15" t="str">
        <f aca="false">IF(OR(K187="",D187=""),"",(K187-D187)/D187)</f>
        <v/>
      </c>
      <c r="M187" s="14"/>
      <c r="N187" s="15" t="str">
        <f aca="false">IF(OR(M187="",D187=""),"",(M187-D187)/D187)</f>
        <v/>
      </c>
      <c r="O187" s="16" t="str">
        <f aca="false">IF(M187="","",IF(SIGN(L187)=SIGN(N187),"적중","실패"))</f>
        <v/>
      </c>
      <c r="P187" s="15" t="str">
        <f aca="false">IF(M187="","",ABS(N187-L187))</f>
        <v/>
      </c>
      <c r="Q187" s="13"/>
    </row>
    <row r="188" customFormat="false" ht="15" hidden="false" customHeight="false" outlineLevel="0" collapsed="false">
      <c r="A188" s="13"/>
      <c r="B188" s="13"/>
      <c r="C188" s="13"/>
      <c r="D188" s="14"/>
      <c r="E188" s="14"/>
      <c r="F188" s="15" t="str">
        <f aca="false">IF(OR(E188="",D188=""),"",(E188-D188)/D188)</f>
        <v/>
      </c>
      <c r="G188" s="14"/>
      <c r="H188" s="15" t="str">
        <f aca="false">IF(OR(G188="",D188=""),"",(G188-D188)/D188)</f>
        <v/>
      </c>
      <c r="I188" s="16" t="str">
        <f aca="false">IF(G188="","",IF(SIGN(F188)=SIGN(H188),"적중","실패"))</f>
        <v/>
      </c>
      <c r="J188" s="15" t="str">
        <f aca="false">IF(G188="","",ABS(H188-F188))</f>
        <v/>
      </c>
      <c r="K188" s="14"/>
      <c r="L188" s="15" t="str">
        <f aca="false">IF(OR(K188="",D188=""),"",(K188-D188)/D188)</f>
        <v/>
      </c>
      <c r="M188" s="14"/>
      <c r="N188" s="15" t="str">
        <f aca="false">IF(OR(M188="",D188=""),"",(M188-D188)/D188)</f>
        <v/>
      </c>
      <c r="O188" s="16" t="str">
        <f aca="false">IF(M188="","",IF(SIGN(L188)=SIGN(N188),"적중","실패"))</f>
        <v/>
      </c>
      <c r="P188" s="15" t="str">
        <f aca="false">IF(M188="","",ABS(N188-L188))</f>
        <v/>
      </c>
      <c r="Q188" s="13"/>
    </row>
    <row r="189" customFormat="false" ht="15" hidden="false" customHeight="false" outlineLevel="0" collapsed="false">
      <c r="A189" s="13"/>
      <c r="B189" s="13"/>
      <c r="C189" s="13"/>
      <c r="D189" s="14"/>
      <c r="E189" s="14"/>
      <c r="F189" s="15" t="str">
        <f aca="false">IF(OR(E189="",D189=""),"",(E189-D189)/D189)</f>
        <v/>
      </c>
      <c r="G189" s="14"/>
      <c r="H189" s="15" t="str">
        <f aca="false">IF(OR(G189="",D189=""),"",(G189-D189)/D189)</f>
        <v/>
      </c>
      <c r="I189" s="16" t="str">
        <f aca="false">IF(G189="","",IF(SIGN(F189)=SIGN(H189),"적중","실패"))</f>
        <v/>
      </c>
      <c r="J189" s="15" t="str">
        <f aca="false">IF(G189="","",ABS(H189-F189))</f>
        <v/>
      </c>
      <c r="K189" s="14"/>
      <c r="L189" s="15" t="str">
        <f aca="false">IF(OR(K189="",D189=""),"",(K189-D189)/D189)</f>
        <v/>
      </c>
      <c r="M189" s="14"/>
      <c r="N189" s="15" t="str">
        <f aca="false">IF(OR(M189="",D189=""),"",(M189-D189)/D189)</f>
        <v/>
      </c>
      <c r="O189" s="16" t="str">
        <f aca="false">IF(M189="","",IF(SIGN(L189)=SIGN(N189),"적중","실패"))</f>
        <v/>
      </c>
      <c r="P189" s="15" t="str">
        <f aca="false">IF(M189="","",ABS(N189-L189))</f>
        <v/>
      </c>
      <c r="Q189" s="13"/>
    </row>
    <row r="190" customFormat="false" ht="15" hidden="false" customHeight="false" outlineLevel="0" collapsed="false">
      <c r="A190" s="13"/>
      <c r="B190" s="13"/>
      <c r="C190" s="13"/>
      <c r="D190" s="14"/>
      <c r="E190" s="14"/>
      <c r="F190" s="15" t="str">
        <f aca="false">IF(OR(E190="",D190=""),"",(E190-D190)/D190)</f>
        <v/>
      </c>
      <c r="G190" s="14"/>
      <c r="H190" s="15" t="str">
        <f aca="false">IF(OR(G190="",D190=""),"",(G190-D190)/D190)</f>
        <v/>
      </c>
      <c r="I190" s="16" t="str">
        <f aca="false">IF(G190="","",IF(SIGN(F190)=SIGN(H190),"적중","실패"))</f>
        <v/>
      </c>
      <c r="J190" s="15" t="str">
        <f aca="false">IF(G190="","",ABS(H190-F190))</f>
        <v/>
      </c>
      <c r="K190" s="14"/>
      <c r="L190" s="15" t="str">
        <f aca="false">IF(OR(K190="",D190=""),"",(K190-D190)/D190)</f>
        <v/>
      </c>
      <c r="M190" s="14"/>
      <c r="N190" s="15" t="str">
        <f aca="false">IF(OR(M190="",D190=""),"",(M190-D190)/D190)</f>
        <v/>
      </c>
      <c r="O190" s="16" t="str">
        <f aca="false">IF(M190="","",IF(SIGN(L190)=SIGN(N190),"적중","실패"))</f>
        <v/>
      </c>
      <c r="P190" s="15" t="str">
        <f aca="false">IF(M190="","",ABS(N190-L190))</f>
        <v/>
      </c>
      <c r="Q190" s="13"/>
    </row>
    <row r="191" customFormat="false" ht="15" hidden="false" customHeight="false" outlineLevel="0" collapsed="false">
      <c r="A191" s="13"/>
      <c r="B191" s="13"/>
      <c r="C191" s="13"/>
      <c r="D191" s="14"/>
      <c r="E191" s="14"/>
      <c r="F191" s="15" t="str">
        <f aca="false">IF(OR(E191="",D191=""),"",(E191-D191)/D191)</f>
        <v/>
      </c>
      <c r="G191" s="14"/>
      <c r="H191" s="15" t="str">
        <f aca="false">IF(OR(G191="",D191=""),"",(G191-D191)/D191)</f>
        <v/>
      </c>
      <c r="I191" s="16" t="str">
        <f aca="false">IF(G191="","",IF(SIGN(F191)=SIGN(H191),"적중","실패"))</f>
        <v/>
      </c>
      <c r="J191" s="15" t="str">
        <f aca="false">IF(G191="","",ABS(H191-F191))</f>
        <v/>
      </c>
      <c r="K191" s="14"/>
      <c r="L191" s="15" t="str">
        <f aca="false">IF(OR(K191="",D191=""),"",(K191-D191)/D191)</f>
        <v/>
      </c>
      <c r="M191" s="14"/>
      <c r="N191" s="15" t="str">
        <f aca="false">IF(OR(M191="",D191=""),"",(M191-D191)/D191)</f>
        <v/>
      </c>
      <c r="O191" s="16" t="str">
        <f aca="false">IF(M191="","",IF(SIGN(L191)=SIGN(N191),"적중","실패"))</f>
        <v/>
      </c>
      <c r="P191" s="15" t="str">
        <f aca="false">IF(M191="","",ABS(N191-L191))</f>
        <v/>
      </c>
      <c r="Q191" s="13"/>
    </row>
    <row r="192" customFormat="false" ht="15" hidden="false" customHeight="false" outlineLevel="0" collapsed="false">
      <c r="A192" s="13"/>
      <c r="B192" s="13"/>
      <c r="C192" s="13"/>
      <c r="D192" s="14"/>
      <c r="E192" s="14"/>
      <c r="F192" s="15" t="str">
        <f aca="false">IF(OR(E192="",D192=""),"",(E192-D192)/D192)</f>
        <v/>
      </c>
      <c r="G192" s="14"/>
      <c r="H192" s="15" t="str">
        <f aca="false">IF(OR(G192="",D192=""),"",(G192-D192)/D192)</f>
        <v/>
      </c>
      <c r="I192" s="16" t="str">
        <f aca="false">IF(G192="","",IF(SIGN(F192)=SIGN(H192),"적중","실패"))</f>
        <v/>
      </c>
      <c r="J192" s="15" t="str">
        <f aca="false">IF(G192="","",ABS(H192-F192))</f>
        <v/>
      </c>
      <c r="K192" s="14"/>
      <c r="L192" s="15" t="str">
        <f aca="false">IF(OR(K192="",D192=""),"",(K192-D192)/D192)</f>
        <v/>
      </c>
      <c r="M192" s="14"/>
      <c r="N192" s="15" t="str">
        <f aca="false">IF(OR(M192="",D192=""),"",(M192-D192)/D192)</f>
        <v/>
      </c>
      <c r="O192" s="16" t="str">
        <f aca="false">IF(M192="","",IF(SIGN(L192)=SIGN(N192),"적중","실패"))</f>
        <v/>
      </c>
      <c r="P192" s="15" t="str">
        <f aca="false">IF(M192="","",ABS(N192-L192))</f>
        <v/>
      </c>
      <c r="Q192" s="13"/>
    </row>
    <row r="193" customFormat="false" ht="15" hidden="false" customHeight="false" outlineLevel="0" collapsed="false">
      <c r="A193" s="13"/>
      <c r="B193" s="13"/>
      <c r="C193" s="13"/>
      <c r="D193" s="14"/>
      <c r="E193" s="14"/>
      <c r="F193" s="15" t="str">
        <f aca="false">IF(OR(E193="",D193=""),"",(E193-D193)/D193)</f>
        <v/>
      </c>
      <c r="G193" s="14"/>
      <c r="H193" s="15" t="str">
        <f aca="false">IF(OR(G193="",D193=""),"",(G193-D193)/D193)</f>
        <v/>
      </c>
      <c r="I193" s="16" t="str">
        <f aca="false">IF(G193="","",IF(SIGN(F193)=SIGN(H193),"적중","실패"))</f>
        <v/>
      </c>
      <c r="J193" s="15" t="str">
        <f aca="false">IF(G193="","",ABS(H193-F193))</f>
        <v/>
      </c>
      <c r="K193" s="14"/>
      <c r="L193" s="15" t="str">
        <f aca="false">IF(OR(K193="",D193=""),"",(K193-D193)/D193)</f>
        <v/>
      </c>
      <c r="M193" s="14"/>
      <c r="N193" s="15" t="str">
        <f aca="false">IF(OR(M193="",D193=""),"",(M193-D193)/D193)</f>
        <v/>
      </c>
      <c r="O193" s="16" t="str">
        <f aca="false">IF(M193="","",IF(SIGN(L193)=SIGN(N193),"적중","실패"))</f>
        <v/>
      </c>
      <c r="P193" s="15" t="str">
        <f aca="false">IF(M193="","",ABS(N193-L193))</f>
        <v/>
      </c>
      <c r="Q193" s="13"/>
    </row>
    <row r="194" customFormat="false" ht="15" hidden="false" customHeight="false" outlineLevel="0" collapsed="false">
      <c r="A194" s="13"/>
      <c r="B194" s="13"/>
      <c r="C194" s="13"/>
      <c r="D194" s="14"/>
      <c r="E194" s="14"/>
      <c r="F194" s="15" t="str">
        <f aca="false">IF(OR(E194="",D194=""),"",(E194-D194)/D194)</f>
        <v/>
      </c>
      <c r="G194" s="14"/>
      <c r="H194" s="15" t="str">
        <f aca="false">IF(OR(G194="",D194=""),"",(G194-D194)/D194)</f>
        <v/>
      </c>
      <c r="I194" s="16" t="str">
        <f aca="false">IF(G194="","",IF(SIGN(F194)=SIGN(H194),"적중","실패"))</f>
        <v/>
      </c>
      <c r="J194" s="15" t="str">
        <f aca="false">IF(G194="","",ABS(H194-F194))</f>
        <v/>
      </c>
      <c r="K194" s="14"/>
      <c r="L194" s="15" t="str">
        <f aca="false">IF(OR(K194="",D194=""),"",(K194-D194)/D194)</f>
        <v/>
      </c>
      <c r="M194" s="14"/>
      <c r="N194" s="15" t="str">
        <f aca="false">IF(OR(M194="",D194=""),"",(M194-D194)/D194)</f>
        <v/>
      </c>
      <c r="O194" s="16" t="str">
        <f aca="false">IF(M194="","",IF(SIGN(L194)=SIGN(N194),"적중","실패"))</f>
        <v/>
      </c>
      <c r="P194" s="15" t="str">
        <f aca="false">IF(M194="","",ABS(N194-L194))</f>
        <v/>
      </c>
      <c r="Q194" s="13"/>
    </row>
    <row r="195" customFormat="false" ht="15" hidden="false" customHeight="false" outlineLevel="0" collapsed="false">
      <c r="A195" s="13"/>
      <c r="B195" s="13"/>
      <c r="C195" s="13"/>
      <c r="D195" s="14"/>
      <c r="E195" s="14"/>
      <c r="F195" s="15" t="str">
        <f aca="false">IF(OR(E195="",D195=""),"",(E195-D195)/D195)</f>
        <v/>
      </c>
      <c r="G195" s="14"/>
      <c r="H195" s="15" t="str">
        <f aca="false">IF(OR(G195="",D195=""),"",(G195-D195)/D195)</f>
        <v/>
      </c>
      <c r="I195" s="16" t="str">
        <f aca="false">IF(G195="","",IF(SIGN(F195)=SIGN(H195),"적중","실패"))</f>
        <v/>
      </c>
      <c r="J195" s="15" t="str">
        <f aca="false">IF(G195="","",ABS(H195-F195))</f>
        <v/>
      </c>
      <c r="K195" s="14"/>
      <c r="L195" s="15" t="str">
        <f aca="false">IF(OR(K195="",D195=""),"",(K195-D195)/D195)</f>
        <v/>
      </c>
      <c r="M195" s="14"/>
      <c r="N195" s="15" t="str">
        <f aca="false">IF(OR(M195="",D195=""),"",(M195-D195)/D195)</f>
        <v/>
      </c>
      <c r="O195" s="16" t="str">
        <f aca="false">IF(M195="","",IF(SIGN(L195)=SIGN(N195),"적중","실패"))</f>
        <v/>
      </c>
      <c r="P195" s="15" t="str">
        <f aca="false">IF(M195="","",ABS(N195-L195))</f>
        <v/>
      </c>
      <c r="Q195" s="13"/>
    </row>
    <row r="196" customFormat="false" ht="15" hidden="false" customHeight="false" outlineLevel="0" collapsed="false">
      <c r="A196" s="13"/>
      <c r="B196" s="13"/>
      <c r="C196" s="13"/>
      <c r="D196" s="14"/>
      <c r="E196" s="14"/>
      <c r="F196" s="15" t="str">
        <f aca="false">IF(OR(E196="",D196=""),"",(E196-D196)/D196)</f>
        <v/>
      </c>
      <c r="G196" s="14"/>
      <c r="H196" s="15" t="str">
        <f aca="false">IF(OR(G196="",D196=""),"",(G196-D196)/D196)</f>
        <v/>
      </c>
      <c r="I196" s="16" t="str">
        <f aca="false">IF(G196="","",IF(SIGN(F196)=SIGN(H196),"적중","실패"))</f>
        <v/>
      </c>
      <c r="J196" s="15" t="str">
        <f aca="false">IF(G196="","",ABS(H196-F196))</f>
        <v/>
      </c>
      <c r="K196" s="14"/>
      <c r="L196" s="15" t="str">
        <f aca="false">IF(OR(K196="",D196=""),"",(K196-D196)/D196)</f>
        <v/>
      </c>
      <c r="M196" s="14"/>
      <c r="N196" s="15" t="str">
        <f aca="false">IF(OR(M196="",D196=""),"",(M196-D196)/D196)</f>
        <v/>
      </c>
      <c r="O196" s="16" t="str">
        <f aca="false">IF(M196="","",IF(SIGN(L196)=SIGN(N196),"적중","실패"))</f>
        <v/>
      </c>
      <c r="P196" s="15" t="str">
        <f aca="false">IF(M196="","",ABS(N196-L196))</f>
        <v/>
      </c>
      <c r="Q196" s="13"/>
    </row>
    <row r="197" customFormat="false" ht="15" hidden="false" customHeight="false" outlineLevel="0" collapsed="false">
      <c r="A197" s="13"/>
      <c r="B197" s="13"/>
      <c r="C197" s="13"/>
      <c r="D197" s="14"/>
      <c r="E197" s="14"/>
      <c r="F197" s="15" t="str">
        <f aca="false">IF(OR(E197="",D197=""),"",(E197-D197)/D197)</f>
        <v/>
      </c>
      <c r="G197" s="14"/>
      <c r="H197" s="15" t="str">
        <f aca="false">IF(OR(G197="",D197=""),"",(G197-D197)/D197)</f>
        <v/>
      </c>
      <c r="I197" s="16" t="str">
        <f aca="false">IF(G197="","",IF(SIGN(F197)=SIGN(H197),"적중","실패"))</f>
        <v/>
      </c>
      <c r="J197" s="15" t="str">
        <f aca="false">IF(G197="","",ABS(H197-F197))</f>
        <v/>
      </c>
      <c r="K197" s="14"/>
      <c r="L197" s="15" t="str">
        <f aca="false">IF(OR(K197="",D197=""),"",(K197-D197)/D197)</f>
        <v/>
      </c>
      <c r="M197" s="14"/>
      <c r="N197" s="15" t="str">
        <f aca="false">IF(OR(M197="",D197=""),"",(M197-D197)/D197)</f>
        <v/>
      </c>
      <c r="O197" s="16" t="str">
        <f aca="false">IF(M197="","",IF(SIGN(L197)=SIGN(N197),"적중","실패"))</f>
        <v/>
      </c>
      <c r="P197" s="15" t="str">
        <f aca="false">IF(M197="","",ABS(N197-L197))</f>
        <v/>
      </c>
      <c r="Q197" s="13"/>
    </row>
    <row r="198" customFormat="false" ht="15" hidden="false" customHeight="false" outlineLevel="0" collapsed="false">
      <c r="A198" s="13"/>
      <c r="B198" s="13"/>
      <c r="C198" s="13"/>
      <c r="D198" s="14"/>
      <c r="E198" s="14"/>
      <c r="F198" s="15" t="str">
        <f aca="false">IF(OR(E198="",D198=""),"",(E198-D198)/D198)</f>
        <v/>
      </c>
      <c r="G198" s="14"/>
      <c r="H198" s="15" t="str">
        <f aca="false">IF(OR(G198="",D198=""),"",(G198-D198)/D198)</f>
        <v/>
      </c>
      <c r="I198" s="16" t="str">
        <f aca="false">IF(G198="","",IF(SIGN(F198)=SIGN(H198),"적중","실패"))</f>
        <v/>
      </c>
      <c r="J198" s="15" t="str">
        <f aca="false">IF(G198="","",ABS(H198-F198))</f>
        <v/>
      </c>
      <c r="K198" s="14"/>
      <c r="L198" s="15" t="str">
        <f aca="false">IF(OR(K198="",D198=""),"",(K198-D198)/D198)</f>
        <v/>
      </c>
      <c r="M198" s="14"/>
      <c r="N198" s="15" t="str">
        <f aca="false">IF(OR(M198="",D198=""),"",(M198-D198)/D198)</f>
        <v/>
      </c>
      <c r="O198" s="16" t="str">
        <f aca="false">IF(M198="","",IF(SIGN(L198)=SIGN(N198),"적중","실패"))</f>
        <v/>
      </c>
      <c r="P198" s="15" t="str">
        <f aca="false">IF(M198="","",ABS(N198-L198))</f>
        <v/>
      </c>
      <c r="Q198" s="13"/>
    </row>
    <row r="199" customFormat="false" ht="15" hidden="false" customHeight="false" outlineLevel="0" collapsed="false">
      <c r="A199" s="13"/>
      <c r="B199" s="13"/>
      <c r="C199" s="13"/>
      <c r="D199" s="14"/>
      <c r="E199" s="14"/>
      <c r="F199" s="15" t="str">
        <f aca="false">IF(OR(E199="",D199=""),"",(E199-D199)/D199)</f>
        <v/>
      </c>
      <c r="G199" s="14"/>
      <c r="H199" s="15" t="str">
        <f aca="false">IF(OR(G199="",D199=""),"",(G199-D199)/D199)</f>
        <v/>
      </c>
      <c r="I199" s="16" t="str">
        <f aca="false">IF(G199="","",IF(SIGN(F199)=SIGN(H199),"적중","실패"))</f>
        <v/>
      </c>
      <c r="J199" s="15" t="str">
        <f aca="false">IF(G199="","",ABS(H199-F199))</f>
        <v/>
      </c>
      <c r="K199" s="14"/>
      <c r="L199" s="15" t="str">
        <f aca="false">IF(OR(K199="",D199=""),"",(K199-D199)/D199)</f>
        <v/>
      </c>
      <c r="M199" s="14"/>
      <c r="N199" s="15" t="str">
        <f aca="false">IF(OR(M199="",D199=""),"",(M199-D199)/D199)</f>
        <v/>
      </c>
      <c r="O199" s="16" t="str">
        <f aca="false">IF(M199="","",IF(SIGN(L199)=SIGN(N199),"적중","실패"))</f>
        <v/>
      </c>
      <c r="P199" s="15" t="str">
        <f aca="false">IF(M199="","",ABS(N199-L199))</f>
        <v/>
      </c>
      <c r="Q199" s="13"/>
    </row>
    <row r="200" customFormat="false" ht="15" hidden="false" customHeight="false" outlineLevel="0" collapsed="false">
      <c r="A200" s="13"/>
      <c r="B200" s="13"/>
      <c r="C200" s="13"/>
      <c r="D200" s="14"/>
      <c r="E200" s="14"/>
      <c r="F200" s="15" t="str">
        <f aca="false">IF(OR(E200="",D200=""),"",(E200-D200)/D200)</f>
        <v/>
      </c>
      <c r="G200" s="14"/>
      <c r="H200" s="15" t="str">
        <f aca="false">IF(OR(G200="",D200=""),"",(G200-D200)/D200)</f>
        <v/>
      </c>
      <c r="I200" s="16" t="str">
        <f aca="false">IF(G200="","",IF(SIGN(F200)=SIGN(H200),"적중","실패"))</f>
        <v/>
      </c>
      <c r="J200" s="15" t="str">
        <f aca="false">IF(G200="","",ABS(H200-F200))</f>
        <v/>
      </c>
      <c r="K200" s="14"/>
      <c r="L200" s="15" t="str">
        <f aca="false">IF(OR(K200="",D200=""),"",(K200-D200)/D200)</f>
        <v/>
      </c>
      <c r="M200" s="14"/>
      <c r="N200" s="15" t="str">
        <f aca="false">IF(OR(M200="",D200=""),"",(M200-D200)/D200)</f>
        <v/>
      </c>
      <c r="O200" s="16" t="str">
        <f aca="false">IF(M200="","",IF(SIGN(L200)=SIGN(N200),"적중","실패"))</f>
        <v/>
      </c>
      <c r="P200" s="15" t="str">
        <f aca="false">IF(M200="","",ABS(N200-L200))</f>
        <v/>
      </c>
      <c r="Q200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"/>
    <col collapsed="false" customWidth="true" hidden="false" outlineLevel="0" max="3" min="3" style="0" width="16"/>
  </cols>
  <sheetData>
    <row r="1" customFormat="false" ht="19.7" hidden="false" customHeight="false" outlineLevel="0" collapsed="false">
      <c r="A1" s="17" t="s">
        <v>51</v>
      </c>
      <c r="B1" s="17"/>
      <c r="C1" s="17"/>
    </row>
    <row r="3" customFormat="false" ht="15" hidden="false" customHeight="false" outlineLevel="0" collapsed="false">
      <c r="A3" s="18" t="s">
        <v>52</v>
      </c>
      <c r="B3" s="18"/>
      <c r="C3" s="18"/>
      <c r="D3" s="18"/>
    </row>
    <row r="5" customFormat="false" ht="20.1" hidden="false" customHeight="false" outlineLevel="0" collapsed="false">
      <c r="A5" s="19" t="s">
        <v>53</v>
      </c>
      <c r="B5" s="19"/>
      <c r="C5" s="19"/>
    </row>
    <row r="6" customFormat="false" ht="17.15" hidden="false" customHeight="false" outlineLevel="0" collapsed="false">
      <c r="A6" s="20" t="s">
        <v>54</v>
      </c>
      <c r="C6" s="21" t="n">
        <f aca="false">COUNTIF(예측기록!I2:I200,"적중")+COUNTIF(예측기록!I2:I200,"실패")</f>
        <v>2</v>
      </c>
    </row>
    <row r="7" customFormat="false" ht="15" hidden="false" customHeight="false" outlineLevel="0" collapsed="false">
      <c r="A7" s="20" t="s">
        <v>55</v>
      </c>
      <c r="C7" s="21" t="n">
        <f aca="false">COUNTIF(예측기록!I2:I200,"적중")</f>
        <v>2</v>
      </c>
    </row>
    <row r="8" customFormat="false" ht="15" hidden="false" customHeight="false" outlineLevel="0" collapsed="false">
      <c r="A8" s="20" t="s">
        <v>56</v>
      </c>
      <c r="C8" s="22" t="n">
        <f aca="false">IFERROR(C7/C6,"-")</f>
        <v>1</v>
      </c>
    </row>
    <row r="9" customFormat="false" ht="17.15" hidden="false" customHeight="false" outlineLevel="0" collapsed="false">
      <c r="A9" s="20" t="s">
        <v>57</v>
      </c>
      <c r="C9" s="23" t="n">
        <f aca="false">IFERROR(AVERAGE(예측기록!J2:J200),"-")</f>
        <v>0.00383637359672289</v>
      </c>
    </row>
    <row r="11" customFormat="false" ht="20.1" hidden="false" customHeight="false" outlineLevel="0" collapsed="false">
      <c r="A11" s="19" t="s">
        <v>58</v>
      </c>
      <c r="B11" s="19"/>
      <c r="C11" s="19"/>
    </row>
    <row r="12" customFormat="false" ht="17.15" hidden="false" customHeight="false" outlineLevel="0" collapsed="false">
      <c r="A12" s="20" t="s">
        <v>54</v>
      </c>
      <c r="C12" s="21" t="n">
        <f aca="false">COUNTIF(예측기록!O2:O200,"적중")+COUNTIF(예측기록!O2:O200,"실패")</f>
        <v>1</v>
      </c>
    </row>
    <row r="13" customFormat="false" ht="15" hidden="false" customHeight="false" outlineLevel="0" collapsed="false">
      <c r="A13" s="20" t="s">
        <v>55</v>
      </c>
      <c r="C13" s="21" t="n">
        <f aca="false">COUNTIF(예측기록!O2:O200,"적중")</f>
        <v>1</v>
      </c>
    </row>
    <row r="14" customFormat="false" ht="15" hidden="false" customHeight="false" outlineLevel="0" collapsed="false">
      <c r="A14" s="20" t="s">
        <v>56</v>
      </c>
      <c r="C14" s="22" t="n">
        <f aca="false">IFERROR(C13/C12,"-")</f>
        <v>1</v>
      </c>
    </row>
    <row r="15" customFormat="false" ht="17.15" hidden="false" customHeight="false" outlineLevel="0" collapsed="false">
      <c r="A15" s="20" t="s">
        <v>57</v>
      </c>
      <c r="C15" s="23" t="n">
        <f aca="false">IFERROR(AVERAGE(예측기록!P2:P200),"-")</f>
        <v>0.00382165605095541</v>
      </c>
    </row>
    <row r="17" customFormat="false" ht="16.15" hidden="false" customHeight="false" outlineLevel="0" collapsed="false">
      <c r="A17" s="24" t="s">
        <v>59</v>
      </c>
      <c r="B17" s="24"/>
      <c r="C17" s="24"/>
    </row>
    <row r="18" customFormat="false" ht="17.15" hidden="false" customHeight="false" outlineLevel="0" collapsed="false">
      <c r="A18" s="3" t="s">
        <v>60</v>
      </c>
      <c r="C18" s="25" t="n">
        <v>0.5</v>
      </c>
    </row>
    <row r="19" customFormat="false" ht="17.15" hidden="false" customHeight="false" outlineLevel="0" collapsed="false">
      <c r="A19" s="3" t="s">
        <v>61</v>
      </c>
      <c r="C19" s="4" t="s">
        <v>62</v>
      </c>
    </row>
  </sheetData>
  <mergeCells count="5">
    <mergeCell ref="A1:C1"/>
    <mergeCell ref="A3:D3"/>
    <mergeCell ref="A5:C5"/>
    <mergeCell ref="A11:C11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2026-07-09T07:57:35Z</dcterms:created>
  <dc:creator>openpyxl</dc:creator>
  <dc:description/>
  <dc:language>en-US</dc:language>
  <cp:lastModifiedBy/>
  <dcterms:modified xsi:type="dcterms:W3CDTF">2026-07-09T07:57:35Z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